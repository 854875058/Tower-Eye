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I数据集项目\data-chat-bot\"/>
    </mc:Choice>
  </mc:AlternateContent>
  <xr:revisionPtr revIDLastSave="0" documentId="13_ncr:1_{6D1AA6C9-EDC4-43F2-9FB0-720FB0C52CBF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总览" sheetId="1" r:id="rId1"/>
    <sheet name="能力矩阵" sheetId="2" r:id="rId2"/>
    <sheet name="优先路线" sheetId="3" r:id="rId3"/>
    <sheet name="能力缺口" sheetId="4" r:id="rId4"/>
  </sheets>
  <definedNames>
    <definedName name="_xlnm._FilterDatabase" localSheetId="1" hidden="1">能力矩阵!$A$1:$N$37</definedName>
    <definedName name="_xlnm._FilterDatabase" localSheetId="3" hidden="1">能力缺口!$A$1:$F$37</definedName>
    <definedName name="_xlnm._FilterDatabase" localSheetId="2" hidden="1">优先路线!$A$1:$G$37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1" i="1"/>
  <c r="C14" i="1"/>
  <c r="C13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<sst xmlns="http://schemas.openxmlformats.org/spreadsheetml/2006/main" count="954" uniqueCount="331">
  <si>
    <t>中国铁塔项目能力矩阵与优先级规划</t>
  </si>
  <si>
    <t>说明</t>
  </si>
  <si>
    <t>统计摘要</t>
  </si>
  <si>
    <t>1. 本工作簿基于《面向两翼业务运营数据价值挖掘及平台智能化模型研发应用项目》规范书整理。</t>
  </si>
  <si>
    <t>能力项总数</t>
  </si>
  <si>
    <t>P0 数量</t>
  </si>
  <si>
    <t>P1 数量</t>
  </si>
  <si>
    <t>4. 优先级定义：P0 表示能力证明和中标沟通最关键，P1 表示平台落地关键，P2 表示交付完善项。</t>
  </si>
  <si>
    <t>P2 数量</t>
  </si>
  <si>
    <t>已具备数量</t>
  </si>
  <si>
    <t>部分具备数量</t>
  </si>
  <si>
    <t>不具备数量</t>
  </si>
  <si>
    <t>预计追加总工时</t>
  </si>
  <si>
    <t>P0 追加工时</t>
  </si>
  <si>
    <t>P1 追加工时</t>
  </si>
  <si>
    <t>P2 追加工时</t>
  </si>
  <si>
    <t>状态定义</t>
  </si>
  <si>
    <t>已具备：已有可运行能力，可直接演示或快速包装。</t>
  </si>
  <si>
    <t>部分具备：已有原型或链路，需要平台化和企业化增强。</t>
  </si>
  <si>
    <t>不具备：需要新建能力或重构当前架构。</t>
  </si>
  <si>
    <t>模块</t>
  </si>
  <si>
    <t>细分功能</t>
  </si>
  <si>
    <t>功能详细描述</t>
  </si>
  <si>
    <t>规范关注点/验收口径</t>
  </si>
  <si>
    <t>难度等级</t>
  </si>
  <si>
    <t>重要程度</t>
  </si>
  <si>
    <t>优先级</t>
  </si>
  <si>
    <t>当前是否具备</t>
  </si>
  <si>
    <t>当前项目基础</t>
  </si>
  <si>
    <t>主要差距</t>
  </si>
  <si>
    <t>能力证明切入点</t>
  </si>
  <si>
    <t>下一步动作</t>
  </si>
  <si>
    <t>建议阶段</t>
  </si>
  <si>
    <t>预计追加工时（人天）</t>
  </si>
  <si>
    <t>多元数据体系建设</t>
  </si>
  <si>
    <t>多数据源全覆盖接入</t>
  </si>
  <si>
    <t>覆盖铁塔“一体两翼”核心业务源，支持内部业务系统、外部行业数据、设备侧数据、用户行为数据的统一接入与分类管理。</t>
  </si>
  <si>
    <t>支撑智联/能源/外部行业数据源接入，支持分级管理、权限控制和新增配置。</t>
  </si>
  <si>
    <t>高</t>
  </si>
  <si>
    <t>极高</t>
  </si>
  <si>
    <t>P0</t>
  </si>
  <si>
    <t>部分具备</t>
  </si>
  <si>
    <t>已具备本地上传、本地路径、SFTP、ZIP/文档/表格接入能力。</t>
  </si>
  <si>
    <t>还未覆盖实时设备流、时序数据、GIS、外部行业接口、业务域分级治理。</t>
  </si>
  <si>
    <t>展示“多来源统一接入 + 统一治理面板 + 数据落地后自动向量化”。</t>
  </si>
  <si>
    <t>补实时/批量双通道接入框架，抽象统一 Source Connector 体系。</t>
  </si>
  <si>
    <t>Phase 1</t>
  </si>
  <si>
    <t>结构化/非结构化/时序化全模态融合</t>
  </si>
  <si>
    <t>实现表单、工单、日志、文档、图像、视频、时序信号等数据在统一语义模型下的融合与关联。</t>
  </si>
  <si>
    <t>要求具备跨业务域、跨数据类型、跨场景的数据关联与融合能力。</t>
  </si>
  <si>
    <t>已具备文档/图像/视频多模态接入与部分检索处理能力。</t>
  </si>
  <si>
    <t>缺少时序数据、GIS 数据、统一语义映射和跨域实体关联机制。</t>
  </si>
  <si>
    <t>做“设备状态 + 工单 + 地理区域 + 项目进度”的融合看板与决策样例。</t>
  </si>
  <si>
    <t>设计跨域实体主键映射、语义层和统一特征视图。</t>
  </si>
  <si>
    <t>非结构化智能识别与标注</t>
  </si>
  <si>
    <t>支持图像目标识别、视频片段标注、文本关键信息提取，形成模型训练与业务分析可用的标注数据。</t>
  </si>
  <si>
    <t>非结构化数据识别与标注能力，整体识别准确率目标 ≥90%。</t>
  </si>
  <si>
    <t>中高</t>
  </si>
  <si>
    <t>P1</t>
  </si>
  <si>
    <t>已有图片/视频标注基础链路，文档标签抽取和摘要能力已具备初版。</t>
  </si>
  <si>
    <t>还没有字段级实体标注、标注质量度量、统一标注任务中心。</t>
  </si>
  <si>
    <t>展示“视频/图片标注 + 文档字段抽取”统一进入训练集生产链路。</t>
  </si>
  <si>
    <t>统一标注任务模型，补文档/段落/字段级标注。</t>
  </si>
  <si>
    <t>Phase 2</t>
  </si>
  <si>
    <t>数据采集与加工质量管控</t>
  </si>
  <si>
    <t>支持实时/离线采集、延迟控制、接入完成率监控、清洗标准化、异常识别与自动修复。</t>
  </si>
  <si>
    <t>要求控制采集延迟、提高标准化处理达标率、降低缺失率。</t>
  </si>
  <si>
    <t>已有文本清洗、摘要、质量评分、订阅采集与增量去重能力。</t>
  </si>
  <si>
    <t>缺少规则中心、质量监控大盘、异常修复策略和实时 SLA 指标。</t>
  </si>
  <si>
    <t>展示“质量评分 + 异常检测 + 规则修复前后对比”。</t>
  </si>
  <si>
    <t>构建质量规则引擎和质量指标看板。</t>
  </si>
  <si>
    <t>数据底层建设</t>
  </si>
  <si>
    <t>元数据标准与数据字典</t>
  </si>
  <si>
    <t>基于统一标准管理字段含义、来源、格式、质量要求、业务口径，形成模型和报表共用的数据字典。</t>
  </si>
  <si>
    <t>明确数据来源、字段含义、格式及质量要求，支撑口径统一。</t>
  </si>
  <si>
    <t>不具备</t>
  </si>
  <si>
    <t>已有数据集、资源、处理结果等基础元信息结构。</t>
  </si>
  <si>
    <t>没有统一的数据字典、字段口径、元数据采集更新查询导出体系。</t>
  </si>
  <si>
    <t>展示统一数据字典和模型/报表字段映射关系。</t>
  </si>
  <si>
    <t>落元数据实体模型、采集流程与管理页面。</t>
  </si>
  <si>
    <t>全链路数据血缘图谱</t>
  </si>
  <si>
    <t>构建表级、字段级、任务级血缘，支持追踪数据从接入、清洗、加工、建模到报表/产品输出的全链路路径。</t>
  </si>
  <si>
    <t>要求元数据驱动的全链路血缘图谱，覆盖表级/字段级/任务级。</t>
  </si>
  <si>
    <t>有工作台采集、处理、订阅等任务节点，可作为血缘起点。</t>
  </si>
  <si>
    <t>没有血缘建模、可视化展示、字段级依赖解析。</t>
  </si>
  <si>
    <t>展示“文档采集 -&gt; 清洗 -&gt; 标签 -&gt; 模型输入 -&gt; 决策输出”的血缘路径。</t>
  </si>
  <si>
    <t>优先做任务级/资源级血缘，再演进到字段级。</t>
  </si>
  <si>
    <t>训练集/验证集/测试集生产</t>
  </si>
  <si>
    <t>将治理后的数据自动划分为训练、验证、测试集，并支持标签继承、版本管理和可追溯抽样。</t>
  </si>
  <si>
    <t>要求输出标准化训练集、验证集、测试集，支撑模型训练效果。</t>
  </si>
  <si>
    <t>已有工作台数据集、标注和处理结果作为训练数据基础。</t>
  </si>
  <si>
    <t>缺少训练数据版本、划分策略、样本抽样与偏差分析。</t>
  </si>
  <si>
    <t>展示某场景模型样本集一键生成与版本追踪。</t>
  </si>
  <si>
    <t>补样本集实体与自动切分流水线。</t>
  </si>
  <si>
    <t>特征工程平台</t>
  </si>
  <si>
    <t>支持特征提取、筛选、转换、组合和特征版本化，统一服务于多类预测模型。</t>
  </si>
  <si>
    <t>要求具备特征工程能力，为模型训练提供高质量特征数据。</t>
  </si>
  <si>
    <t>已有向量化、标签、分类、聚类等初步特征结果。</t>
  </si>
  <si>
    <t>没有特征仓、特征任务、特征版本与复用能力。</t>
  </si>
  <si>
    <t>展示一个场景模型从原始数据到特征层的自动构造链路。</t>
  </si>
  <si>
    <t>优先做特征视图和派生规则配置。</t>
  </si>
  <si>
    <t>统一数据处理调度引擎</t>
  </si>
  <si>
    <t>统一管理采集、清洗、特征、训练、推理、报表和数据产品任务，实现跨任务依赖编排与监控。</t>
  </si>
  <si>
    <t>要求支持多源数据、多模型统一调度与稳定运行。</t>
  </si>
  <si>
    <t>已有工作台订阅调度、采集任务、处理任务基础。</t>
  </si>
  <si>
    <t>缺少统一 DAG/依赖关系、失败重试、任务优先级和运行可视化。</t>
  </si>
  <si>
    <t>展示“采集 -&gt; 清洗 -&gt; 处理 -&gt; 模型调用 -&gt; 建议输出”可编排链路。</t>
  </si>
  <si>
    <t>升级为统一任务编排中心，支持任务依赖与历史追踪。</t>
  </si>
  <si>
    <t>数据资产目录与质量评分</t>
  </si>
  <si>
    <t>对数据资源、数据集、特征集、模型输入输出等进行资产化登记，并按质量维度评分。</t>
  </si>
  <si>
    <t>要求实现数据从资源到资产再到产品的管理闭环。</t>
  </si>
  <si>
    <t>已有资源、数据集、质量评分、处理摘要基础。</t>
  </si>
  <si>
    <t>缺少正式资产目录、价值标签、生命周期和资产视图。</t>
  </si>
  <si>
    <t>展示数据集从接入到资产化评分的全过程。</t>
  </si>
  <si>
    <t>补资产目录、资产属性和价值分析模型。</t>
  </si>
  <si>
    <t>智能模型与平台建设</t>
  </si>
  <si>
    <t>模型研发训练平台</t>
  </si>
  <si>
    <t>支持多类预测/识别/调度模型的训练任务创建、训练资源调度、结果记录和复用。</t>
  </si>
  <si>
    <t>要求支持35种高价值智能化模型研发、训练、上线与管理。</t>
  </si>
  <si>
    <t>已有数据集、向量化、标签和处理结果，可作为模型输入准备层。</t>
  </si>
  <si>
    <t>没有训练任务平台、训练配置、训练产物管理。</t>
  </si>
  <si>
    <t>先做 3~5 个代表模型的统一训练入口，而不是一次做满 35 个。</t>
  </si>
  <si>
    <t>先做模型注册中心和训练任务框架。</t>
  </si>
  <si>
    <t>模型全生命周期管理</t>
  </si>
  <si>
    <t>覆盖训练、评估、上线、灰度发布、版本回溯、下线等全过程，实现模型管理规范化。</t>
  </si>
  <si>
    <t>要求模型生命周期可回溯、可灰度、可视化管理。</t>
  </si>
  <si>
    <t>当前仅有分析/检索原型，没有正式模型平台。</t>
  </si>
  <si>
    <t>没有模型版本、灰度、回滚、评估看板、上线治理。</t>
  </si>
  <si>
    <t>展示单模型的版本切换与灰度发布能力。</t>
  </si>
  <si>
    <t>优先补模型注册、版本和上线策略。</t>
  </si>
  <si>
    <t>模型评估与监控告警</t>
  </si>
  <si>
    <t>对模型准确率、召回率、漂移、异常输出、资源消耗等进行监控和告警。</t>
  </si>
  <si>
    <t>要求模型关键指标达标并支持异常告警、指标展示。</t>
  </si>
  <si>
    <t>有基础日志和健康检查，但无模型维度监控。</t>
  </si>
  <si>
    <t>缺少模型指标体系、告警规则、漂移监控。</t>
  </si>
  <si>
    <t>展示某模型精度、漂移和失败样本监测。</t>
  </si>
  <si>
    <t>补模型指标面板和告警规则。</t>
  </si>
  <si>
    <t>统一模型适配框架</t>
  </si>
  <si>
    <t>将不同技术体系、不同业务域模型封装为统一输入输出规范和服务协议。</t>
  </si>
  <si>
    <t>明确提出统一模型适配框架、数据格式自动转换与协议适配。</t>
  </si>
  <si>
    <t>当前系统有若干算法/分析能力，但未统一成模型服务标准。</t>
  </si>
  <si>
    <t>没有统一 model contract、入参协议、模型服务编排层。</t>
  </si>
  <si>
    <t>拿故障预测、负荷预测、工单排序 3 类模型做统一适配演示。</t>
  </si>
  <si>
    <t>定义统一模型接口、元数据和推理协议。</t>
  </si>
  <si>
    <t>跨域模型协同规则配置</t>
  </si>
  <si>
    <t>通过规则编排定义模型间联动逻辑、触发条件、数据传递和决策链路。</t>
  </si>
  <si>
    <t>要求可视化协同规则配置界面，实现多模型统一调度。</t>
  </si>
  <si>
    <t>已有工作台任务链和智能体基础，可承接编排能力。</t>
  </si>
  <si>
    <t>没有规则图谱、编排 DSL、执行引擎。</t>
  </si>
  <si>
    <t>展示一个跨域场景的规则链：风险预测 -&gt; 调度求解 -&gt; 建议生成。</t>
  </si>
  <si>
    <t>优先做可配置规则节点和执行图。</t>
  </si>
  <si>
    <t>智能求解器/整数规划引擎</t>
  </si>
  <si>
    <t>支持多目标优化、资源约束、成本约束和时效约束，输出最优资源配置与调度方案。</t>
  </si>
  <si>
    <t>规范书明确要求多目标优化求解器、整数规划求解器和最优决策输出。</t>
  </si>
  <si>
    <t>当前只有分析与检索，没有真正决策求解能力。</t>
  </si>
  <si>
    <t>没有约束建模、求解器集成、目标函数定义和方案解释。</t>
  </si>
  <si>
    <t>这是最能证明前沿技术能力的抓手，应优先出 PoC。</t>
  </si>
  <si>
    <t>先围绕能源资源调度/智联项目交付做 1 个求解场景。</t>
  </si>
  <si>
    <t>协同决策过程可视化</t>
  </si>
  <si>
    <t>可视化展示数据流转、模型调用、决策过程、约束命中和输出方案，支持问题追溯。</t>
  </si>
  <si>
    <t>要求协同决策过程可视化和问题追溯能力。</t>
  </si>
  <si>
    <t>已有处理和查询结果展示能力，可承接可视化面板。</t>
  </si>
  <si>
    <t>没有决策链可视化、规则链路呈现与路径回放。</t>
  </si>
  <si>
    <t>用于把复杂 AI 决策能力讲清楚，极适合甲方演示。</t>
  </si>
  <si>
    <t>和规则引擎、求解器联动做过程回放视图。</t>
  </si>
  <si>
    <t>数据运营分析智能体：自然语言多轮交互</t>
  </si>
  <si>
    <t>支持自然语言问数、指标解释、多轮对话、上下文记忆、问题澄清和业务口径理解。</t>
  </si>
  <si>
    <t>单条分析请求平均响应时间 ≤10 秒，准确率 &gt;80%。</t>
  </si>
  <si>
    <t>已有 NL 问答、多轮交互、查询链路、流式响应原型。</t>
  </si>
  <si>
    <t>缺少面向铁塔业务指标体系的知识增强和角色化场景封装。</t>
  </si>
  <si>
    <t>这是最直观的演示入口，必须升级成业务智能体而不是聊天框。</t>
  </si>
  <si>
    <t>接业务指标语义层、澄清逻辑、工具编排。</t>
  </si>
  <si>
    <t>数据运营分析智能体：根因分析与建议生成</t>
  </si>
  <si>
    <t>自动分析异常指标、定位根因、生成可执行建议，并支持建议优先级输出。</t>
  </si>
  <si>
    <t>支持运营痛点识别、根因分析、运营优化建议生成。</t>
  </si>
  <si>
    <t>已有部分查询总结与处理摘要能力，可作为建议生成底座。</t>
  </si>
  <si>
    <t>缺少面向业务规则的根因树、知识库和建议模板/推理链。</t>
  </si>
  <si>
    <t>展示“异常 -&gt; 根因 -&gt; 建议 -&gt; 决策动作”完整链条。</t>
  </si>
  <si>
    <t>构建根因分析链和建议策略引擎。</t>
  </si>
  <si>
    <t>角色化智能体与主动推送</t>
  </si>
  <si>
    <t>按不同角色输出个性化视角和建议，并能主动识别风险/机会后推送给目标角色。</t>
  </si>
  <si>
    <t>要求多角色个性化分析、主动推送能力。</t>
  </si>
  <si>
    <t>已有用户体系、工作空间和查询入口。</t>
  </si>
  <si>
    <t>没有角色画像、推送机制和建议订阅策略。</t>
  </si>
  <si>
    <t>给地市运维经理/能源运营经理展示差异化建议界面。</t>
  </si>
  <si>
    <t>补角色维度模板、推送规则和消息通道。</t>
  </si>
  <si>
    <t>模型并发与性能目标达标</t>
  </si>
  <si>
    <t>满足 50 个单场景模型、10 个跨域协同模型并行计算的资源与调度能力。</t>
  </si>
  <si>
    <t>≥50 个单模型并行、≥10 个跨域模型并行。</t>
  </si>
  <si>
    <t>现有项目仅具备原型级异步任务与查询链路。</t>
  </si>
  <si>
    <t>缺少资源池、队列、并发推理调度和压测体系。</t>
  </si>
  <si>
    <t>短期可先出容量设计与压测方案，而不是先做满负载。</t>
  </si>
  <si>
    <t>做容量规划、并发框架和压测基线。</t>
  </si>
  <si>
    <t>数据价值转化</t>
  </si>
  <si>
    <t>标准化数据产品封装</t>
  </si>
  <si>
    <t>将能源、智联业务数据按主题域封装为标准化数据产品，明确产品能力、范围、接口和服务方式。</t>
  </si>
  <si>
    <t>要求标准化数据产品、产品复用率 ≥80%。</t>
  </si>
  <si>
    <t>已有数据集与资源级管理，但还不是产品级封装。</t>
  </si>
  <si>
    <t>缺少产品视角、产品目录、产品 SLA、产品边界描述。</t>
  </si>
  <si>
    <t>选择 2~3 个标准数据产品原型先做成可展示样机。</t>
  </si>
  <si>
    <t>定义数据产品模型和封装标准。</t>
  </si>
  <si>
    <t>数据产品展示/订阅/交付</t>
  </si>
  <si>
    <t>提供数据产品目录、订阅、交付、使用方式说明和交付过程管理。</t>
  </si>
  <si>
    <t>要求具备数据产品展示、订阅、交付全流程管理功能。</t>
  </si>
  <si>
    <t>已有工作台订阅与资源管理能力，可迁移到产品层。</t>
  </si>
  <si>
    <t>当前订阅的是数据集，不是面向客户/监管侧的数据产品。</t>
  </si>
  <si>
    <t>把现有订阅能力上升到产品订阅与交付视角。</t>
  </si>
  <si>
    <t>补产品目录页、订阅订单和交付记录。</t>
  </si>
  <si>
    <t>数据产品合规审查</t>
  </si>
  <si>
    <t>对外输出前进行敏感字段识别、脱敏、权限校验、用途控制和合规审核记录留痕。</t>
  </si>
  <si>
    <t>要求对外输出产品和服务进行合规性校验，防止数据泄露。</t>
  </si>
  <si>
    <t>当前只有基础鉴权和资源管理，没有合规审查闭环。</t>
  </si>
  <si>
    <t>缺少脱敏规则、用途授权、审计记录、审批流程。</t>
  </si>
  <si>
    <t>向对方证明我们理解“数据资产化不是只做接口，而是带合规输出”。</t>
  </si>
  <si>
    <t>补合规规则引擎、审计留痕和审批接口预留。</t>
  </si>
  <si>
    <t>对外/监管标准接口</t>
  </si>
  <si>
    <t>支持内部业务系统、监管平台、行业客户的标准协议输出，形成可复用服务接口。</t>
  </si>
  <si>
    <t>要求接口标准化覆盖率 ≥90%，支持内外部输出。</t>
  </si>
  <si>
    <t>P2</t>
  </si>
  <si>
    <t>现有对外接口更多是内部 API，不是标准数据产品接口。</t>
  </si>
  <si>
    <t>缺少产品协议、版本规范、调用计量、监管对接协议。</t>
  </si>
  <si>
    <t>短期先给出标准接口定义样例与 2 个产品输出样板。</t>
  </si>
  <si>
    <t>定义 REST/文件/API 三类输出协议。</t>
  </si>
  <si>
    <t>Phase 3</t>
  </si>
  <si>
    <t>100 标准报表自动生成</t>
  </si>
  <si>
    <t>按业务域自动生成和更新标准化报表，支持关键指标校验和多角色展示。</t>
  </si>
  <si>
    <t>100 个标准化业务报表，关键指标准确率 ≥95%。</t>
  </si>
  <si>
    <t>中</t>
  </si>
  <si>
    <t>已有查询、图表建议、表格展示与工作台结果展示能力。</t>
  </si>
  <si>
    <t>没有报表模板中心、自动调度、口径治理和批量生成能力。</t>
  </si>
  <si>
    <t>短期不必先做 100 个，先做 10 个标杆报表样板。</t>
  </si>
  <si>
    <t>做报表模板引擎和自动生成流水线。</t>
  </si>
  <si>
    <t>企业级交付与非功能</t>
  </si>
  <si>
    <t>4A 统一认证授权对接</t>
  </si>
  <si>
    <t>接入铁塔统一认证授权，支持账号、角色、权限统一管理。</t>
  </si>
  <si>
    <t>明确要求与 4A 统一认证授权体系对接。</t>
  </si>
  <si>
    <t>现有项目有本地用户/工作空间体系。</t>
  </si>
  <si>
    <t>没有 4A 对接、角色映射、统一授权控制。</t>
  </si>
  <si>
    <t>技术方案里必须明确“交付版接入企业认证体系”的能力路线。</t>
  </si>
  <si>
    <t>抽离认证授权层并预留对接适配器。</t>
  </si>
  <si>
    <t>流程引擎对接</t>
  </si>
  <si>
    <t>接入统一流程引擎，支撑审批、合规审查、任务流转和交付闭环。</t>
  </si>
  <si>
    <t>涉及流程内容须使用统一流程引擎。</t>
  </si>
  <si>
    <t>当前没有正式流程编排与审批引擎接入。</t>
  </si>
  <si>
    <t>缺审批流、流程编排、状态回传。</t>
  </si>
  <si>
    <t>在数据产品合规审查和订阅审批上接流程最合适。</t>
  </si>
  <si>
    <t>抽象流程节点与回调接口。</t>
  </si>
  <si>
    <t>IT 网管与可观测性</t>
  </si>
  <si>
    <t>纳入统一监控体系，提供健康检查、服务状态、业务状态、系统监控项和告警能力。</t>
  </si>
  <si>
    <t>明确要求接入 IT 网管并满足可观测性标准。</t>
  </si>
  <si>
    <t>已有健康检查、LLM 心跳、日志与基础任务状态。</t>
  </si>
  <si>
    <t>缺正式监控项、业务监控、CMDB 信息、拓扑和网管对接。</t>
  </si>
  <si>
    <t>对外展示“我们有企业级运行治理意识，不只是做算法 Demo”。</t>
  </si>
  <si>
    <t>补统一监控指标与运维文档输出能力。</t>
  </si>
  <si>
    <t>安全日志 / SOC / syslog 审计</t>
  </si>
  <si>
    <t>记录登录日志、操作日志、管理配置日志、告警日志并通过 syslog 转发到 SOC。</t>
  </si>
  <si>
    <t>明确要求日志可转发至中国铁塔 SOC 平台且无高危漏洞。</t>
  </si>
  <si>
    <t>现有只有应用日志与部分 trace，不是企业审计闭环。</t>
  </si>
  <si>
    <t>缺审计模型、日志分级、syslog 转发、安全基线。</t>
  </si>
  <si>
    <t>方案中必须补齐，否则会被认定为“原型级系统”。</t>
  </si>
  <si>
    <t>补审计日志中心与转发适配器。</t>
  </si>
  <si>
    <t>高可用 / 7*24 / RTO / RPO</t>
  </si>
  <si>
    <t>支持服务冗余、故障切换、恢复目标定义和核心/非核心服务拆分，满足生产准备度要求。</t>
  </si>
  <si>
    <t>7*24 连续运行、RTO/RPO、组件冗余、核心服务不停服。</t>
  </si>
  <si>
    <t>当前是单体/原型级服务，不具备高可用架构。</t>
  </si>
  <si>
    <t>缺多实例部署、状态外置、灾备策略、容量设计。</t>
  </si>
  <si>
    <t>可先给出架构设计与演练方案，不必第一阶段全部实现。</t>
  </si>
  <si>
    <t>形成生产级架构蓝图和容灾基线。</t>
  </si>
  <si>
    <t>信创与多厂商兼容</t>
  </si>
  <si>
    <t>当前运行环境和技术栈未做信创适配验证。</t>
  </si>
  <si>
    <t>缺兼容矩阵、适配测试和部署方案。</t>
  </si>
  <si>
    <t>短期可先输出兼容策略和适配方案，而不是全部实装。</t>
  </si>
  <si>
    <t>先形成信创兼容矩阵和验证计划。</t>
  </si>
  <si>
    <t>研发流水线 / 自动化构建部署对接</t>
  </si>
  <si>
    <t>对接铁塔研发流水线，支持需求、研发、测试、发布的标准化和自动化管理。</t>
  </si>
  <si>
    <t>要求接入 IT 研发流水线管理平台，实现自动化构建与部署。</t>
  </si>
  <si>
    <t>当前缺企业级 CI/CD 适配和源代码托管对接方案。</t>
  </si>
  <si>
    <t>缺流水线脚本、质量门禁、制品管理、发布规范。</t>
  </si>
  <si>
    <t>交付方案里要明确“交付版如何纳入其流水线”。</t>
  </si>
  <si>
    <t>先输出流水线对接方案和最低脚本集。</t>
  </si>
  <si>
    <t>文档交付与验收体系</t>
  </si>
  <si>
    <t>输出需求、设计、接口、架构、测试、部署、运维、监控、故障处理等完整文档体系，支撑验收。</t>
  </si>
  <si>
    <t>明确要求完整文档交付、测试方案、试运行、验收资料。</t>
  </si>
  <si>
    <t>已有 README、部分代码说明和能力矩阵基础。</t>
  </si>
  <si>
    <t>缺正式交付文档、验收方案、监控手册、部署手册。</t>
  </si>
  <si>
    <t>很多项目输在‘看起来做得出来’，不是输在算法本身。</t>
  </si>
  <si>
    <t>同步建设交付文档模板和验收清单。</t>
  </si>
  <si>
    <t>专利与技术成果输出</t>
  </si>
  <si>
    <t>围绕跨域协同模型、智能体、数据产品化和多模态治理沉淀专利及技术成果。</t>
  </si>
  <si>
    <t>要求提交 3 项发明专利申请材料。</t>
  </si>
  <si>
    <t>已有部分可沉淀的技术方向，但未形成专利文本。</t>
  </si>
  <si>
    <t>缺专利选题、技术交底、申请材料。</t>
  </si>
  <si>
    <t>专利不是第一优先，但很适合强化“我们是研发型团队”。</t>
  </si>
  <si>
    <t>围绕协同决策、智能体、血缘治理筛选 3 个专利主题。</t>
  </si>
  <si>
    <t>技术栈与公共组件适配</t>
  </si>
  <si>
    <t>针对铁塔 Spring Cloud、公共组件、4A、流程引擎、日志规范等要求形成交付架构适配方案。</t>
  </si>
  <si>
    <t>必须使用其技术栈与公共组件，不允许重复开发公共能力。</t>
  </si>
  <si>
    <t>当前项目是 Python/Vue 能力原型，可作为 AI 能力服务底座。</t>
  </si>
  <si>
    <t>交付版技术架构与现有原型技术栈存在明显差异。</t>
  </si>
  <si>
    <t>必须明确‘原型验证架构’与‘正式交付架构’的映射关系。</t>
  </si>
  <si>
    <t>输出双层架构方案：Spring Cloud 业务平台 + Python AI 服务。</t>
  </si>
  <si>
    <t>阶段</t>
  </si>
  <si>
    <t>为什么现在做</t>
  </si>
  <si>
    <t>建议输出物</t>
  </si>
  <si>
    <t>能力证明期</t>
  </si>
  <si>
    <t>样机 / 场景 Demo / 方案图</t>
  </si>
  <si>
    <t>平台增强期</t>
  </si>
  <si>
    <t>平台能力 / 控制台 / 指标体系</t>
  </si>
  <si>
    <t>交付适配期</t>
  </si>
  <si>
    <t>交付方案 / 适配说明 / 文档与流程</t>
  </si>
  <si>
    <t>2. 评估口径：聚焦“证明我们具备平台级、智能化、前沿技术能力”，而非仅做基础管理页面。</t>
    <phoneticPr fontId="3" type="noConversion"/>
  </si>
  <si>
    <t>交付版需要明确 Spring Cloud 平台层与 Python AI 服务层的双层架构映射。</t>
    <phoneticPr fontId="3" type="noConversion"/>
  </si>
  <si>
    <t>5. 工时（单位为 天）为 1 名熟悉当前项目的全栈工程师估算，不含长周期业务澄清与正式验收。</t>
    <phoneticPr fontId="3" type="noConversion"/>
  </si>
  <si>
    <t>补实时/批量双通道接入框架，抽象统一 Source Connector 体系。</t>
    <phoneticPr fontId="3" type="noConversion"/>
  </si>
  <si>
    <t>设计跨域实体主键映射、语义层和统一特征视图。</t>
    <phoneticPr fontId="3" type="noConversion"/>
  </si>
  <si>
    <t>兼容 CPU、操作系统、数据库等多厂商运行环境，满足信创适配要求。</t>
    <phoneticPr fontId="3" type="noConversion"/>
  </si>
  <si>
    <t>明确要求兼容相关 CPU、OS、DB 产品。</t>
    <phoneticPr fontId="3" type="noConversion"/>
  </si>
  <si>
    <t>短期应优先做出可演示的高价值样机：跨域调度优化 + 智能体根因分析 + 协同规则可视化。</t>
    <phoneticPr fontId="3" type="noConversion"/>
  </si>
  <si>
    <t>3. 当前是否具备分为：已具备 / 部分具备 / 不具备。</t>
    <phoneticPr fontId="3" type="noConversion"/>
  </si>
  <si>
    <t>最能体现能力的不是上传下载之类的简易功能，而是：跨域协同决策、数据运营分析智能体、统一模型适配与生命周期。</t>
    <phoneticPr fontId="3" type="noConversion"/>
  </si>
  <si>
    <t>关键判断</t>
    <phoneticPr fontId="3" type="noConversion"/>
  </si>
  <si>
    <t>拿故障预测、负荷预测、工单排序 3 类模型做统一适配演示。</t>
    <phoneticPr fontId="3" type="noConversion"/>
  </si>
  <si>
    <t>展示一个跨域场景的规则链：风险预测 -&gt; 调度求解 -&gt; 建议生成。</t>
    <phoneticPr fontId="3" type="noConversion"/>
  </si>
  <si>
    <t>统一模型适配框架</t>
    <phoneticPr fontId="3" type="noConversion"/>
  </si>
  <si>
    <t>这是最能证明前沿技术能力的抓手，应优先出 PoC。</t>
    <phoneticPr fontId="3" type="noConversion"/>
  </si>
  <si>
    <t>展示“异常 -&gt; 根因 -&gt; 建议 -&gt; 决策动作”完整链条。</t>
    <phoneticPr fontId="3" type="noConversion"/>
  </si>
  <si>
    <t>必须明确‘原型验证架构’与‘正式交付架构’的映射关系。</t>
    <phoneticPr fontId="3" type="noConversion"/>
  </si>
  <si>
    <t>给地市运维经理/能源运营经理展示差异化建议界面。</t>
    <phoneticPr fontId="3" type="noConversion"/>
  </si>
  <si>
    <t>平台能力 / 控制台 / 指标体系</t>
    <phoneticPr fontId="3" type="noConversion"/>
  </si>
  <si>
    <t>角色化智能体与主动推送</t>
    <phoneticPr fontId="3" type="noConversion"/>
  </si>
  <si>
    <t>用于把复杂 AI 决策能力讲清楚，极适合甲方演示。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</si>
</sst>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宋体"/>
      <family val="2"/>
      <scheme val="minor"/>
    </font>
    <font>
      <sz val="10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E2F0D9"/>
      </patternFill>
    </fill>
  </fills>
  <borders count="5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176" fontId="1" fillId="0" borderId="1" xfId="0" applyNumberFormat="1" applyFont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zoomScale="95" workbookViewId="0">
      <selection activeCell="A23" sqref="A23"/>
    </sheetView>
  </sheetViews>
  <sheetFormatPr defaultRowHeight="14"/>
  <cols>
    <col min="1" max="1" width="88.08984375" customWidth="1"/>
    <col min="2" max="2" width="22" customWidth="1"/>
    <col min="3" max="3" width="18" customWidth="1"/>
    <col min="5" max="5" width="50.1796875" customWidth="1"/>
  </cols>
  <sheetData>
    <row r="1" spans="1:5" ht="14.5">
      <c r="A1" s="14" t="s">
        <v>0</v>
      </c>
      <c r="B1" s="14"/>
      <c r="C1" s="14"/>
      <c r="D1" s="14"/>
      <c r="E1" s="14"/>
    </row>
    <row r="2" spans="1:5" ht="14.5">
      <c r="A2" s="11" t="s">
        <v>1</v>
      </c>
      <c r="B2" s="12" t="s">
        <v>2</v>
      </c>
      <c r="C2" s="13"/>
      <c r="E2" s="11" t="s">
        <v>16</v>
      </c>
    </row>
    <row r="3" spans="1:5" ht="14.5">
      <c r="A3" s="10" t="s">
        <v>3</v>
      </c>
      <c r="B3" s="10" t="s">
        <v>4</v>
      </c>
      <c r="C3" s="10">
        <f>COUNTA(能力矩阵!A2:A200)</f>
        <v>36</v>
      </c>
      <c r="E3" s="10" t="s">
        <v>17</v>
      </c>
    </row>
    <row r="4" spans="1:5" ht="14.5">
      <c r="A4" s="10" t="s">
        <v>310</v>
      </c>
      <c r="B4" s="10" t="s">
        <v>5</v>
      </c>
      <c r="C4" s="10">
        <f>COUNTIF(能力矩阵!G:G,"P0")</f>
        <v>12</v>
      </c>
      <c r="E4" s="10" t="s">
        <v>18</v>
      </c>
    </row>
    <row r="5" spans="1:5" ht="14.5">
      <c r="A5" s="10" t="s">
        <v>318</v>
      </c>
      <c r="B5" s="10" t="s">
        <v>6</v>
      </c>
      <c r="C5" s="10">
        <f>COUNTIF(能力矩阵!G:G,"P1")</f>
        <v>18</v>
      </c>
      <c r="E5" s="10" t="s">
        <v>19</v>
      </c>
    </row>
    <row r="6" spans="1:5" ht="14.5">
      <c r="A6" s="10" t="s">
        <v>7</v>
      </c>
      <c r="B6" s="10" t="s">
        <v>8</v>
      </c>
      <c r="C6" s="10">
        <f>COUNTIF(能力矩阵!G:G,"P2")</f>
        <v>6</v>
      </c>
    </row>
    <row r="7" spans="1:5" ht="14.5">
      <c r="A7" s="10" t="s">
        <v>312</v>
      </c>
      <c r="B7" s="10" t="s">
        <v>9</v>
      </c>
      <c r="C7" s="10">
        <f>COUNTIF(能力矩阵!H:H,"已具备")</f>
        <v>0</v>
      </c>
      <c r="E7" s="11" t="s">
        <v>320</v>
      </c>
    </row>
    <row r="8" spans="1:5" ht="29">
      <c r="A8" s="1"/>
      <c r="B8" s="10" t="s">
        <v>10</v>
      </c>
      <c r="C8" s="10">
        <f>COUNTIF(能力矩阵!H:H,"部分具备")</f>
        <v>12</v>
      </c>
      <c r="E8" s="10" t="s">
        <v>319</v>
      </c>
    </row>
    <row r="9" spans="1:5" ht="29">
      <c r="A9" s="1"/>
      <c r="B9" s="10" t="s">
        <v>11</v>
      </c>
      <c r="C9" s="10">
        <f>COUNTIF(能力矩阵!H:H,"不具备")</f>
        <v>24</v>
      </c>
      <c r="E9" s="10" t="s">
        <v>317</v>
      </c>
    </row>
    <row r="10" spans="1:5" ht="29">
      <c r="E10" s="10" t="s">
        <v>311</v>
      </c>
    </row>
    <row r="11" spans="1:5" ht="14.5">
      <c r="B11" s="10" t="s">
        <v>12</v>
      </c>
      <c r="C11" s="10">
        <f>SUM(能力矩阵!N2:N200)</f>
        <v>145.5</v>
      </c>
    </row>
    <row r="12" spans="1:5" ht="14.5">
      <c r="B12" s="10" t="s">
        <v>13</v>
      </c>
      <c r="C12" s="10">
        <f>SUMIF(能力矩阵!G:G,"P0",能力矩阵!N:N)</f>
        <v>56</v>
      </c>
    </row>
    <row r="13" spans="1:5" ht="14.5">
      <c r="B13" s="10" t="s">
        <v>14</v>
      </c>
      <c r="C13" s="10">
        <f>SUMIF(能力矩阵!G:G,"P1",能力矩阵!N:N)</f>
        <v>71</v>
      </c>
    </row>
    <row r="14" spans="1:5" ht="14.5">
      <c r="A14" s="1"/>
      <c r="B14" s="10" t="s">
        <v>15</v>
      </c>
      <c r="C14" s="10">
        <f>SUMIF(能力矩阵!G:G,"P2",能力矩阵!N:N)</f>
        <v>18.5</v>
      </c>
    </row>
    <row r="15" spans="1:5" ht="14.5">
      <c r="A15" s="1"/>
      <c r="B15" s="1"/>
      <c r="C15" s="1"/>
    </row>
    <row r="16" spans="1:5" ht="14.5">
      <c r="A16" s="1"/>
      <c r="C16" s="1"/>
    </row>
    <row r="17" spans="1:3" ht="14.5">
      <c r="A17" s="1"/>
      <c r="C17" s="1"/>
    </row>
    <row r="18" spans="1:3" ht="14.5">
      <c r="A18" s="1"/>
      <c r="C18" s="1"/>
    </row>
    <row r="19" spans="1:3" ht="14.5">
      <c r="C19" s="1"/>
    </row>
  </sheetData>
  <mergeCells count="2">
    <mergeCell ref="B2:C2"/>
    <mergeCell ref="A1:E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"/>
  <sheetViews>
    <sheetView topLeftCell="B1" zoomScale="90" workbookViewId="0">
      <pane ySplit="1" topLeftCell="A2" activePane="bottomLeft" state="frozen"/>
      <selection pane="bottomLeft" activeCell="K30" sqref="K30"/>
    </sheetView>
  </sheetViews>
  <sheetFormatPr defaultRowHeight="14"/>
  <cols>
    <col min="1" max="1" width="18" customWidth="1"/>
    <col min="2" max="2" width="22" customWidth="1"/>
    <col min="3" max="3" width="42.81640625" customWidth="1"/>
    <col min="4" max="4" width="28" customWidth="1"/>
    <col min="5" max="6" width="10" customWidth="1"/>
    <col min="7" max="7" width="8" customWidth="1"/>
    <col min="8" max="8" width="12" customWidth="1"/>
    <col min="9" max="11" width="24" customWidth="1"/>
    <col min="12" max="12" width="20" customWidth="1"/>
    <col min="13" max="13" width="12" customWidth="1"/>
    <col min="14" max="14" width="10" customWidth="1"/>
  </cols>
  <sheetData>
    <row r="1" spans="1:14" ht="29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</row>
    <row r="2" spans="1:14" ht="43.5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 t="s">
        <v>40</v>
      </c>
      <c r="H2" s="5" t="s">
        <v>41</v>
      </c>
      <c r="I2" s="3" t="s">
        <v>42</v>
      </c>
      <c r="J2" s="3" t="s">
        <v>43</v>
      </c>
      <c r="K2" s="3" t="s">
        <v>44</v>
      </c>
      <c r="L2" s="3" t="s">
        <v>313</v>
      </c>
      <c r="M2" s="3" t="s">
        <v>46</v>
      </c>
      <c r="N2" s="6">
        <v>4</v>
      </c>
    </row>
    <row r="3" spans="1:14" ht="43.5">
      <c r="A3" s="3" t="s">
        <v>34</v>
      </c>
      <c r="B3" s="3" t="s">
        <v>47</v>
      </c>
      <c r="C3" s="3" t="s">
        <v>48</v>
      </c>
      <c r="D3" s="3" t="s">
        <v>49</v>
      </c>
      <c r="E3" s="3" t="s">
        <v>38</v>
      </c>
      <c r="F3" s="3" t="s">
        <v>39</v>
      </c>
      <c r="G3" s="4" t="s">
        <v>40</v>
      </c>
      <c r="H3" s="5" t="s">
        <v>41</v>
      </c>
      <c r="I3" s="3" t="s">
        <v>50</v>
      </c>
      <c r="J3" s="3" t="s">
        <v>51</v>
      </c>
      <c r="K3" s="3" t="s">
        <v>52</v>
      </c>
      <c r="L3" s="3" t="s">
        <v>314</v>
      </c>
      <c r="M3" s="3" t="s">
        <v>46</v>
      </c>
      <c r="N3" s="6">
        <v>5</v>
      </c>
    </row>
    <row r="4" spans="1:14" ht="43.5">
      <c r="A4" s="3" t="s">
        <v>34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38</v>
      </c>
      <c r="G4" s="7" t="s">
        <v>58</v>
      </c>
      <c r="H4" s="5" t="s">
        <v>41</v>
      </c>
      <c r="I4" s="3" t="s">
        <v>59</v>
      </c>
      <c r="J4" s="3" t="s">
        <v>60</v>
      </c>
      <c r="K4" s="3" t="s">
        <v>61</v>
      </c>
      <c r="L4" s="3" t="s">
        <v>62</v>
      </c>
      <c r="M4" s="3" t="s">
        <v>63</v>
      </c>
      <c r="N4" s="6">
        <v>5</v>
      </c>
    </row>
    <row r="5" spans="1:14" ht="43.5">
      <c r="A5" s="3" t="s">
        <v>34</v>
      </c>
      <c r="B5" s="3" t="s">
        <v>64</v>
      </c>
      <c r="C5" s="3" t="s">
        <v>65</v>
      </c>
      <c r="D5" s="3" t="s">
        <v>66</v>
      </c>
      <c r="E5" s="3" t="s">
        <v>38</v>
      </c>
      <c r="F5" s="3" t="s">
        <v>39</v>
      </c>
      <c r="G5" s="7" t="s">
        <v>58</v>
      </c>
      <c r="H5" s="5" t="s">
        <v>41</v>
      </c>
      <c r="I5" s="3" t="s">
        <v>67</v>
      </c>
      <c r="J5" s="3" t="s">
        <v>68</v>
      </c>
      <c r="K5" s="3" t="s">
        <v>69</v>
      </c>
      <c r="L5" s="3" t="s">
        <v>70</v>
      </c>
      <c r="M5" s="3" t="s">
        <v>63</v>
      </c>
      <c r="N5" s="6">
        <v>4</v>
      </c>
    </row>
    <row r="6" spans="1:14" ht="43.5">
      <c r="A6" s="3" t="s">
        <v>71</v>
      </c>
      <c r="B6" s="3" t="s">
        <v>72</v>
      </c>
      <c r="C6" s="3" t="s">
        <v>73</v>
      </c>
      <c r="D6" s="3" t="s">
        <v>74</v>
      </c>
      <c r="E6" s="3" t="s">
        <v>57</v>
      </c>
      <c r="F6" s="3" t="s">
        <v>39</v>
      </c>
      <c r="G6" s="4" t="s">
        <v>40</v>
      </c>
      <c r="H6" s="8" t="s">
        <v>75</v>
      </c>
      <c r="I6" s="3" t="s">
        <v>76</v>
      </c>
      <c r="J6" s="3" t="s">
        <v>77</v>
      </c>
      <c r="K6" s="3" t="s">
        <v>78</v>
      </c>
      <c r="L6" s="3" t="s">
        <v>79</v>
      </c>
      <c r="M6" s="3" t="s">
        <v>46</v>
      </c>
      <c r="N6" s="6">
        <v>4</v>
      </c>
    </row>
    <row r="7" spans="1:14" ht="43.5">
      <c r="A7" s="3" t="s">
        <v>71</v>
      </c>
      <c r="B7" s="3" t="s">
        <v>80</v>
      </c>
      <c r="C7" s="3" t="s">
        <v>81</v>
      </c>
      <c r="D7" s="3" t="s">
        <v>82</v>
      </c>
      <c r="E7" s="3" t="s">
        <v>38</v>
      </c>
      <c r="F7" s="3" t="s">
        <v>39</v>
      </c>
      <c r="G7" s="4" t="s">
        <v>40</v>
      </c>
      <c r="H7" s="8" t="s">
        <v>75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46</v>
      </c>
      <c r="N7" s="6">
        <v>5</v>
      </c>
    </row>
    <row r="8" spans="1:14" ht="43.5">
      <c r="A8" s="3" t="s">
        <v>71</v>
      </c>
      <c r="B8" s="3" t="s">
        <v>87</v>
      </c>
      <c r="C8" s="3" t="s">
        <v>88</v>
      </c>
      <c r="D8" s="3" t="s">
        <v>89</v>
      </c>
      <c r="E8" s="3" t="s">
        <v>57</v>
      </c>
      <c r="F8" s="3" t="s">
        <v>38</v>
      </c>
      <c r="G8" s="7" t="s">
        <v>58</v>
      </c>
      <c r="H8" s="8" t="s">
        <v>75</v>
      </c>
      <c r="I8" s="3" t="s">
        <v>90</v>
      </c>
      <c r="J8" s="3" t="s">
        <v>91</v>
      </c>
      <c r="K8" s="3" t="s">
        <v>92</v>
      </c>
      <c r="L8" s="3" t="s">
        <v>93</v>
      </c>
      <c r="M8" s="3" t="s">
        <v>63</v>
      </c>
      <c r="N8" s="6">
        <v>3.5</v>
      </c>
    </row>
    <row r="9" spans="1:14" ht="43.5">
      <c r="A9" s="3" t="s">
        <v>71</v>
      </c>
      <c r="B9" s="3" t="s">
        <v>94</v>
      </c>
      <c r="C9" s="3" t="s">
        <v>95</v>
      </c>
      <c r="D9" s="3" t="s">
        <v>96</v>
      </c>
      <c r="E9" s="3" t="s">
        <v>38</v>
      </c>
      <c r="F9" s="3" t="s">
        <v>38</v>
      </c>
      <c r="G9" s="7" t="s">
        <v>58</v>
      </c>
      <c r="H9" s="8" t="s">
        <v>75</v>
      </c>
      <c r="I9" s="3" t="s">
        <v>97</v>
      </c>
      <c r="J9" s="3" t="s">
        <v>98</v>
      </c>
      <c r="K9" s="3" t="s">
        <v>99</v>
      </c>
      <c r="L9" s="3" t="s">
        <v>100</v>
      </c>
      <c r="M9" s="3" t="s">
        <v>63</v>
      </c>
      <c r="N9" s="6">
        <v>4.5</v>
      </c>
    </row>
    <row r="10" spans="1:14" ht="43.5">
      <c r="A10" s="3" t="s">
        <v>71</v>
      </c>
      <c r="B10" s="3" t="s">
        <v>101</v>
      </c>
      <c r="C10" s="3" t="s">
        <v>102</v>
      </c>
      <c r="D10" s="3" t="s">
        <v>103</v>
      </c>
      <c r="E10" s="3" t="s">
        <v>38</v>
      </c>
      <c r="F10" s="3" t="s">
        <v>39</v>
      </c>
      <c r="G10" s="7" t="s">
        <v>58</v>
      </c>
      <c r="H10" s="5" t="s">
        <v>41</v>
      </c>
      <c r="I10" s="3" t="s">
        <v>104</v>
      </c>
      <c r="J10" s="3" t="s">
        <v>105</v>
      </c>
      <c r="K10" s="3" t="s">
        <v>106</v>
      </c>
      <c r="L10" s="3" t="s">
        <v>107</v>
      </c>
      <c r="M10" s="3" t="s">
        <v>63</v>
      </c>
      <c r="N10" s="6">
        <v>4</v>
      </c>
    </row>
    <row r="11" spans="1:14" ht="29">
      <c r="A11" s="3" t="s">
        <v>71</v>
      </c>
      <c r="B11" s="3" t="s">
        <v>108</v>
      </c>
      <c r="C11" s="3" t="s">
        <v>109</v>
      </c>
      <c r="D11" s="3" t="s">
        <v>110</v>
      </c>
      <c r="E11" s="3" t="s">
        <v>57</v>
      </c>
      <c r="F11" s="3" t="s">
        <v>38</v>
      </c>
      <c r="G11" s="7" t="s">
        <v>58</v>
      </c>
      <c r="H11" s="5" t="s">
        <v>41</v>
      </c>
      <c r="I11" s="3" t="s">
        <v>111</v>
      </c>
      <c r="J11" s="3" t="s">
        <v>112</v>
      </c>
      <c r="K11" s="3" t="s">
        <v>113</v>
      </c>
      <c r="L11" s="3" t="s">
        <v>114</v>
      </c>
      <c r="M11" s="3" t="s">
        <v>63</v>
      </c>
      <c r="N11" s="6">
        <v>3.5</v>
      </c>
    </row>
    <row r="12" spans="1:14" ht="43.5">
      <c r="A12" s="3" t="s">
        <v>115</v>
      </c>
      <c r="B12" s="3" t="s">
        <v>116</v>
      </c>
      <c r="C12" s="3" t="s">
        <v>117</v>
      </c>
      <c r="D12" s="3" t="s">
        <v>118</v>
      </c>
      <c r="E12" s="3" t="s">
        <v>38</v>
      </c>
      <c r="F12" s="3" t="s">
        <v>39</v>
      </c>
      <c r="G12" s="4" t="s">
        <v>40</v>
      </c>
      <c r="H12" s="8" t="s">
        <v>75</v>
      </c>
      <c r="I12" s="3" t="s">
        <v>119</v>
      </c>
      <c r="J12" s="3" t="s">
        <v>120</v>
      </c>
      <c r="K12" s="3" t="s">
        <v>121</v>
      </c>
      <c r="L12" s="3" t="s">
        <v>122</v>
      </c>
      <c r="M12" s="3" t="s">
        <v>46</v>
      </c>
      <c r="N12" s="6">
        <v>5</v>
      </c>
    </row>
    <row r="13" spans="1:14" ht="29">
      <c r="A13" s="3" t="s">
        <v>115</v>
      </c>
      <c r="B13" s="3" t="s">
        <v>123</v>
      </c>
      <c r="C13" s="3" t="s">
        <v>124</v>
      </c>
      <c r="D13" s="3" t="s">
        <v>125</v>
      </c>
      <c r="E13" s="3" t="s">
        <v>38</v>
      </c>
      <c r="F13" s="3" t="s">
        <v>39</v>
      </c>
      <c r="G13" s="4" t="s">
        <v>40</v>
      </c>
      <c r="H13" s="8" t="s">
        <v>75</v>
      </c>
      <c r="I13" s="3" t="s">
        <v>126</v>
      </c>
      <c r="J13" s="3" t="s">
        <v>127</v>
      </c>
      <c r="K13" s="3" t="s">
        <v>128</v>
      </c>
      <c r="L13" s="3" t="s">
        <v>129</v>
      </c>
      <c r="M13" s="3" t="s">
        <v>46</v>
      </c>
      <c r="N13" s="6">
        <v>4.5</v>
      </c>
    </row>
    <row r="14" spans="1:14" ht="29">
      <c r="A14" s="3" t="s">
        <v>115</v>
      </c>
      <c r="B14" s="3" t="s">
        <v>130</v>
      </c>
      <c r="C14" s="3" t="s">
        <v>131</v>
      </c>
      <c r="D14" s="3" t="s">
        <v>132</v>
      </c>
      <c r="E14" s="3" t="s">
        <v>57</v>
      </c>
      <c r="F14" s="3" t="s">
        <v>38</v>
      </c>
      <c r="G14" s="7" t="s">
        <v>58</v>
      </c>
      <c r="H14" s="8" t="s">
        <v>75</v>
      </c>
      <c r="I14" s="3" t="s">
        <v>133</v>
      </c>
      <c r="J14" s="3" t="s">
        <v>134</v>
      </c>
      <c r="K14" s="3" t="s">
        <v>135</v>
      </c>
      <c r="L14" s="3" t="s">
        <v>136</v>
      </c>
      <c r="M14" s="3" t="s">
        <v>63</v>
      </c>
      <c r="N14" s="6">
        <v>3.5</v>
      </c>
    </row>
    <row r="15" spans="1:14" ht="43.5">
      <c r="A15" s="3" t="s">
        <v>115</v>
      </c>
      <c r="B15" s="3" t="s">
        <v>137</v>
      </c>
      <c r="C15" s="3" t="s">
        <v>138</v>
      </c>
      <c r="D15" s="3" t="s">
        <v>139</v>
      </c>
      <c r="E15" s="3" t="s">
        <v>38</v>
      </c>
      <c r="F15" s="3" t="s">
        <v>39</v>
      </c>
      <c r="G15" s="4" t="s">
        <v>40</v>
      </c>
      <c r="H15" s="8" t="s">
        <v>75</v>
      </c>
      <c r="I15" s="3" t="s">
        <v>140</v>
      </c>
      <c r="J15" s="3" t="s">
        <v>141</v>
      </c>
      <c r="K15" s="3" t="s">
        <v>142</v>
      </c>
      <c r="L15" s="3" t="s">
        <v>143</v>
      </c>
      <c r="M15" s="3" t="s">
        <v>46</v>
      </c>
      <c r="N15" s="6">
        <v>4.5</v>
      </c>
    </row>
    <row r="16" spans="1:14" ht="43.5">
      <c r="A16" s="3" t="s">
        <v>115</v>
      </c>
      <c r="B16" s="3" t="s">
        <v>144</v>
      </c>
      <c r="C16" s="3" t="s">
        <v>145</v>
      </c>
      <c r="D16" s="3" t="s">
        <v>146</v>
      </c>
      <c r="E16" s="3" t="s">
        <v>38</v>
      </c>
      <c r="F16" s="3" t="s">
        <v>39</v>
      </c>
      <c r="G16" s="4" t="s">
        <v>40</v>
      </c>
      <c r="H16" s="8" t="s">
        <v>75</v>
      </c>
      <c r="I16" s="3" t="s">
        <v>147</v>
      </c>
      <c r="J16" s="3" t="s">
        <v>148</v>
      </c>
      <c r="K16" s="3" t="s">
        <v>149</v>
      </c>
      <c r="L16" s="3" t="s">
        <v>150</v>
      </c>
      <c r="M16" s="3" t="s">
        <v>46</v>
      </c>
      <c r="N16" s="6">
        <v>5</v>
      </c>
    </row>
    <row r="17" spans="1:14" ht="43.5">
      <c r="A17" s="3" t="s">
        <v>115</v>
      </c>
      <c r="B17" s="3" t="s">
        <v>151</v>
      </c>
      <c r="C17" s="3" t="s">
        <v>152</v>
      </c>
      <c r="D17" s="3" t="s">
        <v>153</v>
      </c>
      <c r="E17" s="3" t="s">
        <v>39</v>
      </c>
      <c r="F17" s="3" t="s">
        <v>39</v>
      </c>
      <c r="G17" s="4" t="s">
        <v>40</v>
      </c>
      <c r="H17" s="8" t="s">
        <v>75</v>
      </c>
      <c r="I17" s="3" t="s">
        <v>154</v>
      </c>
      <c r="J17" s="3" t="s">
        <v>155</v>
      </c>
      <c r="K17" s="3" t="s">
        <v>156</v>
      </c>
      <c r="L17" s="3" t="s">
        <v>157</v>
      </c>
      <c r="M17" s="3" t="s">
        <v>46</v>
      </c>
      <c r="N17" s="6">
        <v>6</v>
      </c>
    </row>
    <row r="18" spans="1:14" ht="29">
      <c r="A18" s="3" t="s">
        <v>115</v>
      </c>
      <c r="B18" s="3" t="s">
        <v>158</v>
      </c>
      <c r="C18" s="3" t="s">
        <v>159</v>
      </c>
      <c r="D18" s="3" t="s">
        <v>160</v>
      </c>
      <c r="E18" s="3" t="s">
        <v>57</v>
      </c>
      <c r="F18" s="3" t="s">
        <v>38</v>
      </c>
      <c r="G18" s="7" t="s">
        <v>58</v>
      </c>
      <c r="H18" s="8" t="s">
        <v>75</v>
      </c>
      <c r="I18" s="3" t="s">
        <v>161</v>
      </c>
      <c r="J18" s="3" t="s">
        <v>162</v>
      </c>
      <c r="K18" s="3" t="s">
        <v>163</v>
      </c>
      <c r="L18" s="3" t="s">
        <v>164</v>
      </c>
      <c r="M18" s="3" t="s">
        <v>63</v>
      </c>
      <c r="N18" s="6">
        <v>3</v>
      </c>
    </row>
    <row r="19" spans="1:14" ht="43.5">
      <c r="A19" s="3" t="s">
        <v>115</v>
      </c>
      <c r="B19" s="3" t="s">
        <v>165</v>
      </c>
      <c r="C19" s="3" t="s">
        <v>166</v>
      </c>
      <c r="D19" s="3" t="s">
        <v>167</v>
      </c>
      <c r="E19" s="3" t="s">
        <v>38</v>
      </c>
      <c r="F19" s="3" t="s">
        <v>39</v>
      </c>
      <c r="G19" s="4" t="s">
        <v>40</v>
      </c>
      <c r="H19" s="5" t="s">
        <v>41</v>
      </c>
      <c r="I19" s="3" t="s">
        <v>168</v>
      </c>
      <c r="J19" s="3" t="s">
        <v>169</v>
      </c>
      <c r="K19" s="3" t="s">
        <v>170</v>
      </c>
      <c r="L19" s="3" t="s">
        <v>171</v>
      </c>
      <c r="M19" s="3" t="s">
        <v>46</v>
      </c>
      <c r="N19" s="6">
        <v>4.5</v>
      </c>
    </row>
    <row r="20" spans="1:14" ht="43.5">
      <c r="A20" s="3" t="s">
        <v>115</v>
      </c>
      <c r="B20" s="3" t="s">
        <v>172</v>
      </c>
      <c r="C20" s="3" t="s">
        <v>173</v>
      </c>
      <c r="D20" s="3" t="s">
        <v>174</v>
      </c>
      <c r="E20" s="3" t="s">
        <v>38</v>
      </c>
      <c r="F20" s="3" t="s">
        <v>39</v>
      </c>
      <c r="G20" s="4" t="s">
        <v>40</v>
      </c>
      <c r="H20" s="5" t="s">
        <v>41</v>
      </c>
      <c r="I20" s="3" t="s">
        <v>175</v>
      </c>
      <c r="J20" s="3" t="s">
        <v>176</v>
      </c>
      <c r="K20" s="3" t="s">
        <v>177</v>
      </c>
      <c r="L20" s="3" t="s">
        <v>178</v>
      </c>
      <c r="M20" s="3" t="s">
        <v>46</v>
      </c>
      <c r="N20" s="6">
        <v>5</v>
      </c>
    </row>
    <row r="21" spans="1:14" ht="29">
      <c r="A21" s="3" t="s">
        <v>115</v>
      </c>
      <c r="B21" s="3" t="s">
        <v>179</v>
      </c>
      <c r="C21" s="3" t="s">
        <v>180</v>
      </c>
      <c r="D21" s="3" t="s">
        <v>181</v>
      </c>
      <c r="E21" s="3" t="s">
        <v>57</v>
      </c>
      <c r="F21" s="3" t="s">
        <v>38</v>
      </c>
      <c r="G21" s="7" t="s">
        <v>58</v>
      </c>
      <c r="H21" s="8" t="s">
        <v>75</v>
      </c>
      <c r="I21" s="3" t="s">
        <v>182</v>
      </c>
      <c r="J21" s="3" t="s">
        <v>183</v>
      </c>
      <c r="K21" s="3" t="s">
        <v>184</v>
      </c>
      <c r="L21" s="3" t="s">
        <v>185</v>
      </c>
      <c r="M21" s="3" t="s">
        <v>63</v>
      </c>
      <c r="N21" s="6">
        <v>3.5</v>
      </c>
    </row>
    <row r="22" spans="1:14" ht="29">
      <c r="A22" s="3" t="s">
        <v>115</v>
      </c>
      <c r="B22" s="3" t="s">
        <v>186</v>
      </c>
      <c r="C22" s="3" t="s">
        <v>187</v>
      </c>
      <c r="D22" s="3" t="s">
        <v>188</v>
      </c>
      <c r="E22" s="3" t="s">
        <v>39</v>
      </c>
      <c r="F22" s="3" t="s">
        <v>38</v>
      </c>
      <c r="G22" s="7" t="s">
        <v>58</v>
      </c>
      <c r="H22" s="8" t="s">
        <v>75</v>
      </c>
      <c r="I22" s="3" t="s">
        <v>189</v>
      </c>
      <c r="J22" s="3" t="s">
        <v>190</v>
      </c>
      <c r="K22" s="3" t="s">
        <v>191</v>
      </c>
      <c r="L22" s="3" t="s">
        <v>192</v>
      </c>
      <c r="M22" s="3" t="s">
        <v>63</v>
      </c>
      <c r="N22" s="6">
        <v>5</v>
      </c>
    </row>
    <row r="23" spans="1:14" ht="29">
      <c r="A23" s="3" t="s">
        <v>193</v>
      </c>
      <c r="B23" s="3" t="s">
        <v>194</v>
      </c>
      <c r="C23" s="3" t="s">
        <v>195</v>
      </c>
      <c r="D23" s="3" t="s">
        <v>196</v>
      </c>
      <c r="E23" s="3" t="s">
        <v>57</v>
      </c>
      <c r="F23" s="3" t="s">
        <v>38</v>
      </c>
      <c r="G23" s="7" t="s">
        <v>58</v>
      </c>
      <c r="H23" s="8" t="s">
        <v>75</v>
      </c>
      <c r="I23" s="3" t="s">
        <v>197</v>
      </c>
      <c r="J23" s="3" t="s">
        <v>198</v>
      </c>
      <c r="K23" s="3" t="s">
        <v>199</v>
      </c>
      <c r="L23" s="3" t="s">
        <v>200</v>
      </c>
      <c r="M23" s="3" t="s">
        <v>63</v>
      </c>
      <c r="N23" s="6">
        <v>3.5</v>
      </c>
    </row>
    <row r="24" spans="1:14" ht="43.5">
      <c r="A24" s="3" t="s">
        <v>193</v>
      </c>
      <c r="B24" s="3" t="s">
        <v>201</v>
      </c>
      <c r="C24" s="3" t="s">
        <v>202</v>
      </c>
      <c r="D24" s="3" t="s">
        <v>203</v>
      </c>
      <c r="E24" s="3" t="s">
        <v>57</v>
      </c>
      <c r="F24" s="3" t="s">
        <v>38</v>
      </c>
      <c r="G24" s="7" t="s">
        <v>58</v>
      </c>
      <c r="H24" s="5" t="s">
        <v>41</v>
      </c>
      <c r="I24" s="3" t="s">
        <v>204</v>
      </c>
      <c r="J24" s="3" t="s">
        <v>205</v>
      </c>
      <c r="K24" s="3" t="s">
        <v>206</v>
      </c>
      <c r="L24" s="3" t="s">
        <v>207</v>
      </c>
      <c r="M24" s="3" t="s">
        <v>63</v>
      </c>
      <c r="N24" s="6">
        <v>4</v>
      </c>
    </row>
    <row r="25" spans="1:14" ht="43.5">
      <c r="A25" s="3" t="s">
        <v>193</v>
      </c>
      <c r="B25" s="3" t="s">
        <v>208</v>
      </c>
      <c r="C25" s="3" t="s">
        <v>209</v>
      </c>
      <c r="D25" s="3" t="s">
        <v>210</v>
      </c>
      <c r="E25" s="3" t="s">
        <v>38</v>
      </c>
      <c r="F25" s="3" t="s">
        <v>39</v>
      </c>
      <c r="G25" s="7" t="s">
        <v>58</v>
      </c>
      <c r="H25" s="8" t="s">
        <v>75</v>
      </c>
      <c r="I25" s="3" t="s">
        <v>211</v>
      </c>
      <c r="J25" s="3" t="s">
        <v>212</v>
      </c>
      <c r="K25" s="3" t="s">
        <v>213</v>
      </c>
      <c r="L25" s="3" t="s">
        <v>214</v>
      </c>
      <c r="M25" s="3" t="s">
        <v>63</v>
      </c>
      <c r="N25" s="6">
        <v>4.5</v>
      </c>
    </row>
    <row r="26" spans="1:14" ht="43.5">
      <c r="A26" s="3" t="s">
        <v>193</v>
      </c>
      <c r="B26" s="3" t="s">
        <v>215</v>
      </c>
      <c r="C26" s="3" t="s">
        <v>216</v>
      </c>
      <c r="D26" s="3" t="s">
        <v>217</v>
      </c>
      <c r="E26" s="3" t="s">
        <v>57</v>
      </c>
      <c r="F26" s="3" t="s">
        <v>38</v>
      </c>
      <c r="G26" s="9" t="s">
        <v>218</v>
      </c>
      <c r="H26" s="8" t="s">
        <v>75</v>
      </c>
      <c r="I26" s="3" t="s">
        <v>219</v>
      </c>
      <c r="J26" s="3" t="s">
        <v>220</v>
      </c>
      <c r="K26" s="3" t="s">
        <v>221</v>
      </c>
      <c r="L26" s="3" t="s">
        <v>222</v>
      </c>
      <c r="M26" s="3" t="s">
        <v>223</v>
      </c>
      <c r="N26" s="6">
        <v>3.5</v>
      </c>
    </row>
    <row r="27" spans="1:14" ht="43.5">
      <c r="A27" s="3" t="s">
        <v>193</v>
      </c>
      <c r="B27" s="3" t="s">
        <v>224</v>
      </c>
      <c r="C27" s="3" t="s">
        <v>225</v>
      </c>
      <c r="D27" s="3" t="s">
        <v>226</v>
      </c>
      <c r="E27" s="3" t="s">
        <v>227</v>
      </c>
      <c r="F27" s="3" t="s">
        <v>57</v>
      </c>
      <c r="G27" s="9" t="s">
        <v>218</v>
      </c>
      <c r="H27" s="5" t="s">
        <v>41</v>
      </c>
      <c r="I27" s="3" t="s">
        <v>228</v>
      </c>
      <c r="J27" s="3" t="s">
        <v>229</v>
      </c>
      <c r="K27" s="3" t="s">
        <v>230</v>
      </c>
      <c r="L27" s="3" t="s">
        <v>231</v>
      </c>
      <c r="M27" s="3" t="s">
        <v>223</v>
      </c>
      <c r="N27" s="6">
        <v>4</v>
      </c>
    </row>
    <row r="28" spans="1:14" ht="43.5">
      <c r="A28" s="3" t="s">
        <v>232</v>
      </c>
      <c r="B28" s="3" t="s">
        <v>233</v>
      </c>
      <c r="C28" s="3" t="s">
        <v>234</v>
      </c>
      <c r="D28" s="3" t="s">
        <v>235</v>
      </c>
      <c r="E28" s="3" t="s">
        <v>57</v>
      </c>
      <c r="F28" s="3" t="s">
        <v>39</v>
      </c>
      <c r="G28" s="7" t="s">
        <v>58</v>
      </c>
      <c r="H28" s="8" t="s">
        <v>75</v>
      </c>
      <c r="I28" s="3" t="s">
        <v>236</v>
      </c>
      <c r="J28" s="3" t="s">
        <v>237</v>
      </c>
      <c r="K28" s="3" t="s">
        <v>238</v>
      </c>
      <c r="L28" s="3" t="s">
        <v>239</v>
      </c>
      <c r="M28" s="3" t="s">
        <v>63</v>
      </c>
      <c r="N28" s="6">
        <v>3</v>
      </c>
    </row>
    <row r="29" spans="1:14" ht="29">
      <c r="A29" s="3" t="s">
        <v>232</v>
      </c>
      <c r="B29" s="3" t="s">
        <v>240</v>
      </c>
      <c r="C29" s="3" t="s">
        <v>241</v>
      </c>
      <c r="D29" s="3" t="s">
        <v>242</v>
      </c>
      <c r="E29" s="3" t="s">
        <v>227</v>
      </c>
      <c r="F29" s="3" t="s">
        <v>38</v>
      </c>
      <c r="G29" s="9" t="s">
        <v>218</v>
      </c>
      <c r="H29" s="8" t="s">
        <v>75</v>
      </c>
      <c r="I29" s="3" t="s">
        <v>243</v>
      </c>
      <c r="J29" s="3" t="s">
        <v>244</v>
      </c>
      <c r="K29" s="3" t="s">
        <v>245</v>
      </c>
      <c r="L29" s="3" t="s">
        <v>246</v>
      </c>
      <c r="M29" s="3" t="s">
        <v>223</v>
      </c>
      <c r="N29" s="6">
        <v>2.5</v>
      </c>
    </row>
    <row r="30" spans="1:14" ht="43.5">
      <c r="A30" s="3" t="s">
        <v>232</v>
      </c>
      <c r="B30" s="3" t="s">
        <v>247</v>
      </c>
      <c r="C30" s="3" t="s">
        <v>248</v>
      </c>
      <c r="D30" s="3" t="s">
        <v>249</v>
      </c>
      <c r="E30" s="3" t="s">
        <v>57</v>
      </c>
      <c r="F30" s="3" t="s">
        <v>38</v>
      </c>
      <c r="G30" s="7" t="s">
        <v>58</v>
      </c>
      <c r="H30" s="5" t="s">
        <v>41</v>
      </c>
      <c r="I30" s="3" t="s">
        <v>250</v>
      </c>
      <c r="J30" s="3" t="s">
        <v>251</v>
      </c>
      <c r="K30" s="3" t="s">
        <v>252</v>
      </c>
      <c r="L30" s="3" t="s">
        <v>253</v>
      </c>
      <c r="M30" s="3" t="s">
        <v>63</v>
      </c>
      <c r="N30" s="6">
        <v>3.5</v>
      </c>
    </row>
    <row r="31" spans="1:14" ht="29">
      <c r="A31" s="3" t="s">
        <v>232</v>
      </c>
      <c r="B31" s="3" t="s">
        <v>254</v>
      </c>
      <c r="C31" s="3" t="s">
        <v>255</v>
      </c>
      <c r="D31" s="3" t="s">
        <v>256</v>
      </c>
      <c r="E31" s="3" t="s">
        <v>38</v>
      </c>
      <c r="F31" s="3" t="s">
        <v>39</v>
      </c>
      <c r="G31" s="7" t="s">
        <v>58</v>
      </c>
      <c r="H31" s="8" t="s">
        <v>75</v>
      </c>
      <c r="I31" s="3" t="s">
        <v>257</v>
      </c>
      <c r="J31" s="3" t="s">
        <v>258</v>
      </c>
      <c r="K31" s="3" t="s">
        <v>259</v>
      </c>
      <c r="L31" s="3" t="s">
        <v>260</v>
      </c>
      <c r="M31" s="3" t="s">
        <v>63</v>
      </c>
      <c r="N31" s="6">
        <v>4</v>
      </c>
    </row>
    <row r="32" spans="1:14" ht="43.5">
      <c r="A32" s="3" t="s">
        <v>232</v>
      </c>
      <c r="B32" s="3" t="s">
        <v>261</v>
      </c>
      <c r="C32" s="3" t="s">
        <v>262</v>
      </c>
      <c r="D32" s="3" t="s">
        <v>263</v>
      </c>
      <c r="E32" s="3" t="s">
        <v>39</v>
      </c>
      <c r="F32" s="3" t="s">
        <v>39</v>
      </c>
      <c r="G32" s="7" t="s">
        <v>58</v>
      </c>
      <c r="H32" s="8" t="s">
        <v>75</v>
      </c>
      <c r="I32" s="3" t="s">
        <v>264</v>
      </c>
      <c r="J32" s="3" t="s">
        <v>265</v>
      </c>
      <c r="K32" s="3" t="s">
        <v>266</v>
      </c>
      <c r="L32" s="3" t="s">
        <v>267</v>
      </c>
      <c r="M32" s="3" t="s">
        <v>63</v>
      </c>
      <c r="N32" s="6">
        <v>5</v>
      </c>
    </row>
    <row r="33" spans="1:14" ht="29">
      <c r="A33" s="3" t="s">
        <v>232</v>
      </c>
      <c r="B33" s="3" t="s">
        <v>268</v>
      </c>
      <c r="C33" s="3" t="s">
        <v>315</v>
      </c>
      <c r="D33" s="3" t="s">
        <v>316</v>
      </c>
      <c r="E33" s="3" t="s">
        <v>38</v>
      </c>
      <c r="F33" s="3" t="s">
        <v>38</v>
      </c>
      <c r="G33" s="9" t="s">
        <v>218</v>
      </c>
      <c r="H33" s="8" t="s">
        <v>75</v>
      </c>
      <c r="I33" s="3" t="s">
        <v>269</v>
      </c>
      <c r="J33" s="3" t="s">
        <v>270</v>
      </c>
      <c r="K33" s="3" t="s">
        <v>271</v>
      </c>
      <c r="L33" s="3" t="s">
        <v>272</v>
      </c>
      <c r="M33" s="3" t="s">
        <v>223</v>
      </c>
      <c r="N33" s="6">
        <v>3</v>
      </c>
    </row>
    <row r="34" spans="1:14" ht="29">
      <c r="A34" s="3" t="s">
        <v>232</v>
      </c>
      <c r="B34" s="3" t="s">
        <v>273</v>
      </c>
      <c r="C34" s="3" t="s">
        <v>274</v>
      </c>
      <c r="D34" s="3" t="s">
        <v>275</v>
      </c>
      <c r="E34" s="3" t="s">
        <v>57</v>
      </c>
      <c r="F34" s="3" t="s">
        <v>38</v>
      </c>
      <c r="G34" s="9" t="s">
        <v>218</v>
      </c>
      <c r="H34" s="8" t="s">
        <v>75</v>
      </c>
      <c r="I34" s="3" t="s">
        <v>276</v>
      </c>
      <c r="J34" s="3" t="s">
        <v>277</v>
      </c>
      <c r="K34" s="3" t="s">
        <v>278</v>
      </c>
      <c r="L34" s="3" t="s">
        <v>279</v>
      </c>
      <c r="M34" s="3" t="s">
        <v>223</v>
      </c>
      <c r="N34" s="6">
        <v>3</v>
      </c>
    </row>
    <row r="35" spans="1:14" ht="43.5">
      <c r="A35" s="3" t="s">
        <v>232</v>
      </c>
      <c r="B35" s="3" t="s">
        <v>280</v>
      </c>
      <c r="C35" s="3" t="s">
        <v>281</v>
      </c>
      <c r="D35" s="3" t="s">
        <v>282</v>
      </c>
      <c r="E35" s="3" t="s">
        <v>227</v>
      </c>
      <c r="F35" s="3" t="s">
        <v>39</v>
      </c>
      <c r="G35" s="7" t="s">
        <v>58</v>
      </c>
      <c r="H35" s="5" t="s">
        <v>41</v>
      </c>
      <c r="I35" s="3" t="s">
        <v>283</v>
      </c>
      <c r="J35" s="3" t="s">
        <v>284</v>
      </c>
      <c r="K35" s="3" t="s">
        <v>285</v>
      </c>
      <c r="L35" s="3" t="s">
        <v>286</v>
      </c>
      <c r="M35" s="3" t="s">
        <v>63</v>
      </c>
      <c r="N35" s="6">
        <v>4</v>
      </c>
    </row>
    <row r="36" spans="1:14" ht="43.5">
      <c r="A36" s="3" t="s">
        <v>232</v>
      </c>
      <c r="B36" s="3" t="s">
        <v>287</v>
      </c>
      <c r="C36" s="3" t="s">
        <v>288</v>
      </c>
      <c r="D36" s="3" t="s">
        <v>289</v>
      </c>
      <c r="E36" s="3" t="s">
        <v>57</v>
      </c>
      <c r="F36" s="3" t="s">
        <v>57</v>
      </c>
      <c r="G36" s="9" t="s">
        <v>218</v>
      </c>
      <c r="H36" s="8" t="s">
        <v>75</v>
      </c>
      <c r="I36" s="3" t="s">
        <v>290</v>
      </c>
      <c r="J36" s="3" t="s">
        <v>291</v>
      </c>
      <c r="K36" s="3" t="s">
        <v>292</v>
      </c>
      <c r="L36" s="3" t="s">
        <v>293</v>
      </c>
      <c r="M36" s="3" t="s">
        <v>223</v>
      </c>
      <c r="N36" s="6">
        <v>2.5</v>
      </c>
    </row>
    <row r="37" spans="1:14" ht="43.5">
      <c r="A37" s="3" t="s">
        <v>232</v>
      </c>
      <c r="B37" s="3" t="s">
        <v>294</v>
      </c>
      <c r="C37" s="3" t="s">
        <v>295</v>
      </c>
      <c r="D37" s="3" t="s">
        <v>296</v>
      </c>
      <c r="E37" s="3" t="s">
        <v>38</v>
      </c>
      <c r="F37" s="3" t="s">
        <v>39</v>
      </c>
      <c r="G37" s="4" t="s">
        <v>40</v>
      </c>
      <c r="H37" s="8" t="s">
        <v>75</v>
      </c>
      <c r="I37" s="3" t="s">
        <v>297</v>
      </c>
      <c r="J37" s="3" t="s">
        <v>298</v>
      </c>
      <c r="K37" s="3" t="s">
        <v>299</v>
      </c>
      <c r="L37" s="3" t="s">
        <v>300</v>
      </c>
      <c r="M37" s="3" t="s">
        <v>46</v>
      </c>
      <c r="N37" s="6">
        <v>3.5</v>
      </c>
    </row>
  </sheetData>
  <autoFilter ref="A1:N37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zoomScale="90" workbookViewId="0">
      <pane ySplit="1" topLeftCell="A2" activePane="bottomLeft" state="frozen"/>
      <selection pane="bottomLeft" activeCell="E21" sqref="E21"/>
    </sheetView>
  </sheetViews>
  <sheetFormatPr defaultRowHeight="14"/>
  <cols>
    <col min="1" max="1" width="10.453125" bestFit="1" customWidth="1"/>
    <col min="2" max="2" width="8" customWidth="1"/>
    <col min="3" max="3" width="18" customWidth="1"/>
    <col min="4" max="4" width="24" customWidth="1"/>
    <col min="5" max="5" width="34" customWidth="1"/>
    <col min="6" max="6" width="22" customWidth="1"/>
    <col min="7" max="8" width="12" customWidth="1"/>
    <col min="9" max="11" width="24" customWidth="1"/>
    <col min="12" max="12" width="20" customWidth="1"/>
    <col min="13" max="13" width="12" customWidth="1"/>
    <col min="14" max="14" width="10" customWidth="1"/>
  </cols>
  <sheetData>
    <row r="1" spans="1:7" ht="29">
      <c r="A1" s="2" t="s">
        <v>301</v>
      </c>
      <c r="B1" s="2" t="s">
        <v>26</v>
      </c>
      <c r="C1" s="2" t="s">
        <v>20</v>
      </c>
      <c r="D1" s="2" t="s">
        <v>21</v>
      </c>
      <c r="E1" s="2" t="s">
        <v>302</v>
      </c>
      <c r="F1" s="2" t="s">
        <v>303</v>
      </c>
      <c r="G1" s="2" t="s">
        <v>33</v>
      </c>
    </row>
    <row r="2" spans="1:7" ht="29">
      <c r="A2" s="3" t="s">
        <v>304</v>
      </c>
      <c r="B2" s="3" t="s">
        <v>40</v>
      </c>
      <c r="C2" s="3" t="s">
        <v>34</v>
      </c>
      <c r="D2" s="3" t="s">
        <v>35</v>
      </c>
      <c r="E2" s="3" t="s">
        <v>44</v>
      </c>
      <c r="F2" s="3" t="s">
        <v>305</v>
      </c>
      <c r="G2" s="6">
        <v>4</v>
      </c>
    </row>
    <row r="3" spans="1:7" ht="29">
      <c r="A3" s="3" t="s">
        <v>304</v>
      </c>
      <c r="B3" s="3" t="s">
        <v>40</v>
      </c>
      <c r="C3" s="3" t="s">
        <v>34</v>
      </c>
      <c r="D3" s="3" t="s">
        <v>47</v>
      </c>
      <c r="E3" s="3" t="s">
        <v>52</v>
      </c>
      <c r="F3" s="3" t="s">
        <v>305</v>
      </c>
      <c r="G3" s="6">
        <v>5</v>
      </c>
    </row>
    <row r="4" spans="1:7" ht="29">
      <c r="A4" s="3" t="s">
        <v>304</v>
      </c>
      <c r="B4" s="3" t="s">
        <v>40</v>
      </c>
      <c r="C4" s="3" t="s">
        <v>71</v>
      </c>
      <c r="D4" s="3" t="s">
        <v>72</v>
      </c>
      <c r="E4" s="3" t="s">
        <v>78</v>
      </c>
      <c r="F4" s="3" t="s">
        <v>305</v>
      </c>
      <c r="G4" s="6">
        <v>4</v>
      </c>
    </row>
    <row r="5" spans="1:7" ht="29">
      <c r="A5" s="3" t="s">
        <v>304</v>
      </c>
      <c r="B5" s="3" t="s">
        <v>40</v>
      </c>
      <c r="C5" s="3" t="s">
        <v>71</v>
      </c>
      <c r="D5" s="3" t="s">
        <v>80</v>
      </c>
      <c r="E5" s="3" t="s">
        <v>85</v>
      </c>
      <c r="F5" s="3" t="s">
        <v>305</v>
      </c>
      <c r="G5" s="6">
        <v>5</v>
      </c>
    </row>
    <row r="6" spans="1:7" ht="29">
      <c r="A6" s="3" t="s">
        <v>304</v>
      </c>
      <c r="B6" s="3" t="s">
        <v>40</v>
      </c>
      <c r="C6" s="3" t="s">
        <v>115</v>
      </c>
      <c r="D6" s="3" t="s">
        <v>116</v>
      </c>
      <c r="E6" s="3" t="s">
        <v>121</v>
      </c>
      <c r="F6" s="3" t="s">
        <v>305</v>
      </c>
      <c r="G6" s="6">
        <v>5</v>
      </c>
    </row>
    <row r="7" spans="1:7" ht="29">
      <c r="A7" s="3" t="s">
        <v>304</v>
      </c>
      <c r="B7" s="3" t="s">
        <v>40</v>
      </c>
      <c r="C7" s="3" t="s">
        <v>115</v>
      </c>
      <c r="D7" s="3" t="s">
        <v>123</v>
      </c>
      <c r="E7" s="3" t="s">
        <v>128</v>
      </c>
      <c r="F7" s="3" t="s">
        <v>305</v>
      </c>
      <c r="G7" s="6">
        <v>4.5</v>
      </c>
    </row>
    <row r="8" spans="1:7" ht="29">
      <c r="A8" s="3" t="s">
        <v>304</v>
      </c>
      <c r="B8" s="3" t="s">
        <v>40</v>
      </c>
      <c r="C8" s="3" t="s">
        <v>115</v>
      </c>
      <c r="D8" s="3" t="s">
        <v>323</v>
      </c>
      <c r="E8" s="3" t="s">
        <v>321</v>
      </c>
      <c r="F8" s="3" t="s">
        <v>305</v>
      </c>
      <c r="G8" s="6">
        <v>4.5</v>
      </c>
    </row>
    <row r="9" spans="1:7" ht="29">
      <c r="A9" s="3" t="s">
        <v>304</v>
      </c>
      <c r="B9" s="3" t="s">
        <v>40</v>
      </c>
      <c r="C9" s="3" t="s">
        <v>115</v>
      </c>
      <c r="D9" s="3" t="s">
        <v>144</v>
      </c>
      <c r="E9" s="3" t="s">
        <v>322</v>
      </c>
      <c r="F9" s="3" t="s">
        <v>305</v>
      </c>
      <c r="G9" s="6">
        <v>5</v>
      </c>
    </row>
    <row r="10" spans="1:7" ht="29">
      <c r="A10" s="3" t="s">
        <v>304</v>
      </c>
      <c r="B10" s="3" t="s">
        <v>40</v>
      </c>
      <c r="C10" s="3" t="s">
        <v>115</v>
      </c>
      <c r="D10" s="3" t="s">
        <v>151</v>
      </c>
      <c r="E10" s="3" t="s">
        <v>324</v>
      </c>
      <c r="F10" s="3" t="s">
        <v>305</v>
      </c>
      <c r="G10" s="6">
        <v>6</v>
      </c>
    </row>
    <row r="11" spans="1:7" ht="29">
      <c r="A11" s="3" t="s">
        <v>304</v>
      </c>
      <c r="B11" s="3" t="s">
        <v>40</v>
      </c>
      <c r="C11" s="3" t="s">
        <v>115</v>
      </c>
      <c r="D11" s="3" t="s">
        <v>165</v>
      </c>
      <c r="E11" s="3" t="s">
        <v>170</v>
      </c>
      <c r="F11" s="3" t="s">
        <v>305</v>
      </c>
      <c r="G11" s="6">
        <v>4.5</v>
      </c>
    </row>
    <row r="12" spans="1:7" ht="29">
      <c r="A12" s="3" t="s">
        <v>304</v>
      </c>
      <c r="B12" s="3" t="s">
        <v>40</v>
      </c>
      <c r="C12" s="3" t="s">
        <v>115</v>
      </c>
      <c r="D12" s="3" t="s">
        <v>172</v>
      </c>
      <c r="E12" s="3" t="s">
        <v>325</v>
      </c>
      <c r="F12" s="3" t="s">
        <v>305</v>
      </c>
      <c r="G12" s="6">
        <v>5</v>
      </c>
    </row>
    <row r="13" spans="1:7" ht="29">
      <c r="A13" s="3" t="s">
        <v>304</v>
      </c>
      <c r="B13" s="3" t="s">
        <v>40</v>
      </c>
      <c r="C13" s="3" t="s">
        <v>232</v>
      </c>
      <c r="D13" s="3" t="s">
        <v>294</v>
      </c>
      <c r="E13" s="3" t="s">
        <v>326</v>
      </c>
      <c r="F13" s="3" t="s">
        <v>305</v>
      </c>
      <c r="G13" s="6">
        <v>3.5</v>
      </c>
    </row>
    <row r="14" spans="1:7" ht="29">
      <c r="A14" s="3" t="s">
        <v>306</v>
      </c>
      <c r="B14" s="3" t="s">
        <v>58</v>
      </c>
      <c r="C14" s="3" t="s">
        <v>34</v>
      </c>
      <c r="D14" s="3" t="s">
        <v>54</v>
      </c>
      <c r="E14" s="3" t="s">
        <v>61</v>
      </c>
      <c r="F14" s="3" t="s">
        <v>307</v>
      </c>
      <c r="G14" s="6">
        <v>5</v>
      </c>
    </row>
    <row r="15" spans="1:7" ht="29">
      <c r="A15" s="3" t="s">
        <v>306</v>
      </c>
      <c r="B15" s="3" t="s">
        <v>58</v>
      </c>
      <c r="C15" s="3" t="s">
        <v>34</v>
      </c>
      <c r="D15" s="3" t="s">
        <v>64</v>
      </c>
      <c r="E15" s="3" t="s">
        <v>69</v>
      </c>
      <c r="F15" s="3" t="s">
        <v>307</v>
      </c>
      <c r="G15" s="6">
        <v>4</v>
      </c>
    </row>
    <row r="16" spans="1:7" ht="29">
      <c r="A16" s="3" t="s">
        <v>306</v>
      </c>
      <c r="B16" s="3" t="s">
        <v>58</v>
      </c>
      <c r="C16" s="3" t="s">
        <v>71</v>
      </c>
      <c r="D16" s="3" t="s">
        <v>87</v>
      </c>
      <c r="E16" s="3" t="s">
        <v>92</v>
      </c>
      <c r="F16" s="3" t="s">
        <v>307</v>
      </c>
      <c r="G16" s="6">
        <v>3.5</v>
      </c>
    </row>
    <row r="17" spans="1:7" ht="29">
      <c r="A17" s="3" t="s">
        <v>306</v>
      </c>
      <c r="B17" s="3" t="s">
        <v>58</v>
      </c>
      <c r="C17" s="3" t="s">
        <v>71</v>
      </c>
      <c r="D17" s="3" t="s">
        <v>94</v>
      </c>
      <c r="E17" s="3" t="s">
        <v>99</v>
      </c>
      <c r="F17" s="3" t="s">
        <v>307</v>
      </c>
      <c r="G17" s="6">
        <v>4.5</v>
      </c>
    </row>
    <row r="18" spans="1:7" ht="29">
      <c r="A18" s="3" t="s">
        <v>306</v>
      </c>
      <c r="B18" s="3" t="s">
        <v>58</v>
      </c>
      <c r="C18" s="3" t="s">
        <v>71</v>
      </c>
      <c r="D18" s="3" t="s">
        <v>101</v>
      </c>
      <c r="E18" s="3" t="s">
        <v>106</v>
      </c>
      <c r="F18" s="3" t="s">
        <v>307</v>
      </c>
      <c r="G18" s="6">
        <v>4</v>
      </c>
    </row>
    <row r="19" spans="1:7" ht="29">
      <c r="A19" s="3" t="s">
        <v>306</v>
      </c>
      <c r="B19" s="3" t="s">
        <v>58</v>
      </c>
      <c r="C19" s="3" t="s">
        <v>71</v>
      </c>
      <c r="D19" s="3" t="s">
        <v>108</v>
      </c>
      <c r="E19" s="3" t="s">
        <v>113</v>
      </c>
      <c r="F19" s="3" t="s">
        <v>307</v>
      </c>
      <c r="G19" s="6">
        <v>3.5</v>
      </c>
    </row>
    <row r="20" spans="1:7" ht="29">
      <c r="A20" s="3" t="s">
        <v>306</v>
      </c>
      <c r="B20" s="3" t="s">
        <v>58</v>
      </c>
      <c r="C20" s="3" t="s">
        <v>115</v>
      </c>
      <c r="D20" s="3" t="s">
        <v>130</v>
      </c>
      <c r="E20" s="3" t="s">
        <v>135</v>
      </c>
      <c r="F20" s="3" t="s">
        <v>307</v>
      </c>
      <c r="G20" s="6">
        <v>3.5</v>
      </c>
    </row>
    <row r="21" spans="1:7" ht="29">
      <c r="A21" s="3" t="s">
        <v>306</v>
      </c>
      <c r="B21" s="3" t="s">
        <v>58</v>
      </c>
      <c r="C21" s="3" t="s">
        <v>115</v>
      </c>
      <c r="D21" s="3" t="s">
        <v>158</v>
      </c>
      <c r="E21" s="3" t="s">
        <v>330</v>
      </c>
      <c r="F21" s="3" t="s">
        <v>307</v>
      </c>
      <c r="G21" s="6">
        <v>3</v>
      </c>
    </row>
    <row r="22" spans="1:7" ht="29">
      <c r="A22" s="3" t="s">
        <v>306</v>
      </c>
      <c r="B22" s="3" t="s">
        <v>58</v>
      </c>
      <c r="C22" s="3" t="s">
        <v>115</v>
      </c>
      <c r="D22" s="3" t="s">
        <v>329</v>
      </c>
      <c r="E22" s="3" t="s">
        <v>327</v>
      </c>
      <c r="F22" s="3" t="s">
        <v>328</v>
      </c>
      <c r="G22" s="6">
        <v>3.5</v>
      </c>
    </row>
    <row r="23" spans="1:7" ht="29">
      <c r="A23" s="3" t="s">
        <v>306</v>
      </c>
      <c r="B23" s="3" t="s">
        <v>58</v>
      </c>
      <c r="C23" s="3" t="s">
        <v>115</v>
      </c>
      <c r="D23" s="3" t="s">
        <v>186</v>
      </c>
      <c r="E23" s="3" t="s">
        <v>191</v>
      </c>
      <c r="F23" s="3" t="s">
        <v>307</v>
      </c>
      <c r="G23" s="6">
        <v>5</v>
      </c>
    </row>
    <row r="24" spans="1:7" ht="29">
      <c r="A24" s="3" t="s">
        <v>306</v>
      </c>
      <c r="B24" s="3" t="s">
        <v>58</v>
      </c>
      <c r="C24" s="3" t="s">
        <v>193</v>
      </c>
      <c r="D24" s="3" t="s">
        <v>194</v>
      </c>
      <c r="E24" s="3" t="s">
        <v>199</v>
      </c>
      <c r="F24" s="3" t="s">
        <v>307</v>
      </c>
      <c r="G24" s="6">
        <v>3.5</v>
      </c>
    </row>
    <row r="25" spans="1:7" ht="29">
      <c r="A25" s="3" t="s">
        <v>306</v>
      </c>
      <c r="B25" s="3" t="s">
        <v>58</v>
      </c>
      <c r="C25" s="3" t="s">
        <v>193</v>
      </c>
      <c r="D25" s="3" t="s">
        <v>201</v>
      </c>
      <c r="E25" s="3" t="s">
        <v>206</v>
      </c>
      <c r="F25" s="3" t="s">
        <v>307</v>
      </c>
      <c r="G25" s="6">
        <v>4</v>
      </c>
    </row>
    <row r="26" spans="1:7" ht="29">
      <c r="A26" s="3" t="s">
        <v>306</v>
      </c>
      <c r="B26" s="3" t="s">
        <v>58</v>
      </c>
      <c r="C26" s="3" t="s">
        <v>193</v>
      </c>
      <c r="D26" s="3" t="s">
        <v>208</v>
      </c>
      <c r="E26" s="3" t="s">
        <v>213</v>
      </c>
      <c r="F26" s="3" t="s">
        <v>307</v>
      </c>
      <c r="G26" s="6">
        <v>4.5</v>
      </c>
    </row>
    <row r="27" spans="1:7" ht="29">
      <c r="A27" s="3" t="s">
        <v>306</v>
      </c>
      <c r="B27" s="3" t="s">
        <v>58</v>
      </c>
      <c r="C27" s="3" t="s">
        <v>232</v>
      </c>
      <c r="D27" s="3" t="s">
        <v>233</v>
      </c>
      <c r="E27" s="3" t="s">
        <v>238</v>
      </c>
      <c r="F27" s="3" t="s">
        <v>307</v>
      </c>
      <c r="G27" s="6">
        <v>3</v>
      </c>
    </row>
    <row r="28" spans="1:7" ht="29">
      <c r="A28" s="3" t="s">
        <v>306</v>
      </c>
      <c r="B28" s="3" t="s">
        <v>58</v>
      </c>
      <c r="C28" s="3" t="s">
        <v>232</v>
      </c>
      <c r="D28" s="3" t="s">
        <v>247</v>
      </c>
      <c r="E28" s="3" t="s">
        <v>252</v>
      </c>
      <c r="F28" s="3" t="s">
        <v>307</v>
      </c>
      <c r="G28" s="6">
        <v>3.5</v>
      </c>
    </row>
    <row r="29" spans="1:7" ht="29">
      <c r="A29" s="3" t="s">
        <v>306</v>
      </c>
      <c r="B29" s="3" t="s">
        <v>58</v>
      </c>
      <c r="C29" s="3" t="s">
        <v>232</v>
      </c>
      <c r="D29" s="3" t="s">
        <v>254</v>
      </c>
      <c r="E29" s="3" t="s">
        <v>259</v>
      </c>
      <c r="F29" s="3" t="s">
        <v>307</v>
      </c>
      <c r="G29" s="6">
        <v>4</v>
      </c>
    </row>
    <row r="30" spans="1:7" ht="29">
      <c r="A30" s="3" t="s">
        <v>306</v>
      </c>
      <c r="B30" s="3" t="s">
        <v>58</v>
      </c>
      <c r="C30" s="3" t="s">
        <v>232</v>
      </c>
      <c r="D30" s="3" t="s">
        <v>261</v>
      </c>
      <c r="E30" s="3" t="s">
        <v>266</v>
      </c>
      <c r="F30" s="3" t="s">
        <v>307</v>
      </c>
      <c r="G30" s="6">
        <v>5</v>
      </c>
    </row>
    <row r="31" spans="1:7" ht="29">
      <c r="A31" s="3" t="s">
        <v>306</v>
      </c>
      <c r="B31" s="3" t="s">
        <v>58</v>
      </c>
      <c r="C31" s="3" t="s">
        <v>232</v>
      </c>
      <c r="D31" s="3" t="s">
        <v>280</v>
      </c>
      <c r="E31" s="3" t="s">
        <v>285</v>
      </c>
      <c r="F31" s="3" t="s">
        <v>307</v>
      </c>
      <c r="G31" s="6">
        <v>4</v>
      </c>
    </row>
    <row r="32" spans="1:7" ht="29">
      <c r="A32" s="3" t="s">
        <v>308</v>
      </c>
      <c r="B32" s="3" t="s">
        <v>218</v>
      </c>
      <c r="C32" s="3" t="s">
        <v>193</v>
      </c>
      <c r="D32" s="3" t="s">
        <v>215</v>
      </c>
      <c r="E32" s="3" t="s">
        <v>221</v>
      </c>
      <c r="F32" s="3" t="s">
        <v>309</v>
      </c>
      <c r="G32" s="6">
        <v>3.5</v>
      </c>
    </row>
    <row r="33" spans="1:7" ht="29">
      <c r="A33" s="3" t="s">
        <v>308</v>
      </c>
      <c r="B33" s="3" t="s">
        <v>218</v>
      </c>
      <c r="C33" s="3" t="s">
        <v>193</v>
      </c>
      <c r="D33" s="3" t="s">
        <v>224</v>
      </c>
      <c r="E33" s="3" t="s">
        <v>230</v>
      </c>
      <c r="F33" s="3" t="s">
        <v>309</v>
      </c>
      <c r="G33" s="6">
        <v>4</v>
      </c>
    </row>
    <row r="34" spans="1:7" ht="29">
      <c r="A34" s="3" t="s">
        <v>308</v>
      </c>
      <c r="B34" s="3" t="s">
        <v>218</v>
      </c>
      <c r="C34" s="3" t="s">
        <v>232</v>
      </c>
      <c r="D34" s="3" t="s">
        <v>240</v>
      </c>
      <c r="E34" s="3" t="s">
        <v>245</v>
      </c>
      <c r="F34" s="3" t="s">
        <v>309</v>
      </c>
      <c r="G34" s="6">
        <v>2.5</v>
      </c>
    </row>
    <row r="35" spans="1:7" ht="29">
      <c r="A35" s="3" t="s">
        <v>308</v>
      </c>
      <c r="B35" s="3" t="s">
        <v>218</v>
      </c>
      <c r="C35" s="3" t="s">
        <v>232</v>
      </c>
      <c r="D35" s="3" t="s">
        <v>268</v>
      </c>
      <c r="E35" s="3" t="s">
        <v>271</v>
      </c>
      <c r="F35" s="3" t="s">
        <v>309</v>
      </c>
      <c r="G35" s="6">
        <v>3</v>
      </c>
    </row>
    <row r="36" spans="1:7" ht="29">
      <c r="A36" s="3" t="s">
        <v>308</v>
      </c>
      <c r="B36" s="3" t="s">
        <v>218</v>
      </c>
      <c r="C36" s="3" t="s">
        <v>232</v>
      </c>
      <c r="D36" s="3" t="s">
        <v>273</v>
      </c>
      <c r="E36" s="3" t="s">
        <v>278</v>
      </c>
      <c r="F36" s="3" t="s">
        <v>309</v>
      </c>
      <c r="G36" s="6">
        <v>3</v>
      </c>
    </row>
    <row r="37" spans="1:7" ht="29">
      <c r="A37" s="3" t="s">
        <v>308</v>
      </c>
      <c r="B37" s="3" t="s">
        <v>218</v>
      </c>
      <c r="C37" s="3" t="s">
        <v>232</v>
      </c>
      <c r="D37" s="3" t="s">
        <v>287</v>
      </c>
      <c r="E37" s="3" t="s">
        <v>292</v>
      </c>
      <c r="F37" s="3" t="s">
        <v>309</v>
      </c>
      <c r="G37" s="6">
        <v>2.5</v>
      </c>
    </row>
  </sheetData>
  <autoFilter ref="A1:G37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tabSelected="1" zoomScale="90" workbookViewId="0">
      <pane ySplit="1" topLeftCell="A20" activePane="bottomLeft" state="frozen"/>
      <selection pane="bottomLeft" activeCell="H17" sqref="H17"/>
    </sheetView>
  </sheetViews>
  <sheetFormatPr defaultRowHeight="14"/>
  <cols>
    <col min="1" max="1" width="18" customWidth="1"/>
    <col min="2" max="2" width="22" customWidth="1"/>
    <col min="3" max="3" width="30" customWidth="1"/>
    <col min="4" max="4" width="33.26953125" customWidth="1"/>
    <col min="5" max="5" width="33.7265625" customWidth="1"/>
    <col min="6" max="7" width="8" customWidth="1"/>
    <col min="8" max="8" width="12" customWidth="1"/>
    <col min="9" max="11" width="24" customWidth="1"/>
    <col min="12" max="12" width="20" customWidth="1"/>
    <col min="13" max="13" width="12" customWidth="1"/>
    <col min="14" max="14" width="10" customWidth="1"/>
  </cols>
  <sheetData>
    <row r="1" spans="1:6" ht="14.5">
      <c r="A1" s="2" t="s">
        <v>20</v>
      </c>
      <c r="B1" s="2" t="s">
        <v>21</v>
      </c>
      <c r="C1" s="2" t="s">
        <v>28</v>
      </c>
      <c r="D1" s="2" t="s">
        <v>29</v>
      </c>
      <c r="E1" s="2" t="s">
        <v>31</v>
      </c>
      <c r="F1" s="2" t="s">
        <v>26</v>
      </c>
    </row>
    <row r="2" spans="1:6" ht="29">
      <c r="A2" s="3" t="s">
        <v>34</v>
      </c>
      <c r="B2" s="3" t="s">
        <v>35</v>
      </c>
      <c r="C2" s="3" t="s">
        <v>42</v>
      </c>
      <c r="D2" s="3" t="s">
        <v>43</v>
      </c>
      <c r="E2" s="3" t="s">
        <v>45</v>
      </c>
      <c r="F2" s="3" t="s">
        <v>40</v>
      </c>
    </row>
    <row r="3" spans="1:6" ht="29">
      <c r="A3" s="3" t="s">
        <v>34</v>
      </c>
      <c r="B3" s="3" t="s">
        <v>47</v>
      </c>
      <c r="C3" s="3" t="s">
        <v>50</v>
      </c>
      <c r="D3" s="3" t="s">
        <v>51</v>
      </c>
      <c r="E3" s="3" t="s">
        <v>53</v>
      </c>
      <c r="F3" s="3" t="s">
        <v>40</v>
      </c>
    </row>
    <row r="4" spans="1:6" ht="29">
      <c r="A4" s="3" t="s">
        <v>34</v>
      </c>
      <c r="B4" s="3" t="s">
        <v>54</v>
      </c>
      <c r="C4" s="3" t="s">
        <v>59</v>
      </c>
      <c r="D4" s="3" t="s">
        <v>60</v>
      </c>
      <c r="E4" s="3" t="s">
        <v>62</v>
      </c>
      <c r="F4" s="3" t="s">
        <v>58</v>
      </c>
    </row>
    <row r="5" spans="1:6" ht="29">
      <c r="A5" s="3" t="s">
        <v>34</v>
      </c>
      <c r="B5" s="3" t="s">
        <v>64</v>
      </c>
      <c r="C5" s="3" t="s">
        <v>67</v>
      </c>
      <c r="D5" s="3" t="s">
        <v>68</v>
      </c>
      <c r="E5" s="3" t="s">
        <v>70</v>
      </c>
      <c r="F5" s="3" t="s">
        <v>58</v>
      </c>
    </row>
    <row r="6" spans="1:6" ht="29">
      <c r="A6" s="3" t="s">
        <v>71</v>
      </c>
      <c r="B6" s="3" t="s">
        <v>72</v>
      </c>
      <c r="C6" s="3" t="s">
        <v>76</v>
      </c>
      <c r="D6" s="3" t="s">
        <v>77</v>
      </c>
      <c r="E6" s="3" t="s">
        <v>79</v>
      </c>
      <c r="F6" s="3" t="s">
        <v>40</v>
      </c>
    </row>
    <row r="7" spans="1:6" ht="29">
      <c r="A7" s="3" t="s">
        <v>71</v>
      </c>
      <c r="B7" s="3" t="s">
        <v>80</v>
      </c>
      <c r="C7" s="3" t="s">
        <v>83</v>
      </c>
      <c r="D7" s="3" t="s">
        <v>84</v>
      </c>
      <c r="E7" s="3" t="s">
        <v>86</v>
      </c>
      <c r="F7" s="3" t="s">
        <v>40</v>
      </c>
    </row>
    <row r="8" spans="1:6" ht="29">
      <c r="A8" s="3" t="s">
        <v>71</v>
      </c>
      <c r="B8" s="3" t="s">
        <v>87</v>
      </c>
      <c r="C8" s="3" t="s">
        <v>90</v>
      </c>
      <c r="D8" s="3" t="s">
        <v>91</v>
      </c>
      <c r="E8" s="3" t="s">
        <v>93</v>
      </c>
      <c r="F8" s="3" t="s">
        <v>58</v>
      </c>
    </row>
    <row r="9" spans="1:6" ht="29">
      <c r="A9" s="3" t="s">
        <v>71</v>
      </c>
      <c r="B9" s="3" t="s">
        <v>94</v>
      </c>
      <c r="C9" s="3" t="s">
        <v>97</v>
      </c>
      <c r="D9" s="3" t="s">
        <v>98</v>
      </c>
      <c r="E9" s="3" t="s">
        <v>100</v>
      </c>
      <c r="F9" s="3" t="s">
        <v>58</v>
      </c>
    </row>
    <row r="10" spans="1:6" ht="29">
      <c r="A10" s="3" t="s">
        <v>71</v>
      </c>
      <c r="B10" s="3" t="s">
        <v>101</v>
      </c>
      <c r="C10" s="3" t="s">
        <v>104</v>
      </c>
      <c r="D10" s="3" t="s">
        <v>105</v>
      </c>
      <c r="E10" s="3" t="s">
        <v>107</v>
      </c>
      <c r="F10" s="3" t="s">
        <v>58</v>
      </c>
    </row>
    <row r="11" spans="1:6" ht="29">
      <c r="A11" s="3" t="s">
        <v>71</v>
      </c>
      <c r="B11" s="3" t="s">
        <v>108</v>
      </c>
      <c r="C11" s="3" t="s">
        <v>111</v>
      </c>
      <c r="D11" s="3" t="s">
        <v>112</v>
      </c>
      <c r="E11" s="3" t="s">
        <v>114</v>
      </c>
      <c r="F11" s="3" t="s">
        <v>58</v>
      </c>
    </row>
    <row r="12" spans="1:6" ht="29">
      <c r="A12" s="3" t="s">
        <v>115</v>
      </c>
      <c r="B12" s="3" t="s">
        <v>116</v>
      </c>
      <c r="C12" s="3" t="s">
        <v>119</v>
      </c>
      <c r="D12" s="3" t="s">
        <v>120</v>
      </c>
      <c r="E12" s="3" t="s">
        <v>122</v>
      </c>
      <c r="F12" s="3" t="s">
        <v>40</v>
      </c>
    </row>
    <row r="13" spans="1:6" ht="29">
      <c r="A13" s="3" t="s">
        <v>115</v>
      </c>
      <c r="B13" s="3" t="s">
        <v>123</v>
      </c>
      <c r="C13" s="3" t="s">
        <v>126</v>
      </c>
      <c r="D13" s="3" t="s">
        <v>127</v>
      </c>
      <c r="E13" s="3" t="s">
        <v>129</v>
      </c>
      <c r="F13" s="3" t="s">
        <v>40</v>
      </c>
    </row>
    <row r="14" spans="1:6" ht="29">
      <c r="A14" s="3" t="s">
        <v>115</v>
      </c>
      <c r="B14" s="3" t="s">
        <v>130</v>
      </c>
      <c r="C14" s="3" t="s">
        <v>133</v>
      </c>
      <c r="D14" s="3" t="s">
        <v>134</v>
      </c>
      <c r="E14" s="3" t="s">
        <v>136</v>
      </c>
      <c r="F14" s="3" t="s">
        <v>58</v>
      </c>
    </row>
    <row r="15" spans="1:6" ht="29">
      <c r="A15" s="3" t="s">
        <v>115</v>
      </c>
      <c r="B15" s="3" t="s">
        <v>137</v>
      </c>
      <c r="C15" s="3" t="s">
        <v>140</v>
      </c>
      <c r="D15" s="3" t="s">
        <v>141</v>
      </c>
      <c r="E15" s="3" t="s">
        <v>143</v>
      </c>
      <c r="F15" s="3" t="s">
        <v>40</v>
      </c>
    </row>
    <row r="16" spans="1:6" ht="29">
      <c r="A16" s="3" t="s">
        <v>115</v>
      </c>
      <c r="B16" s="3" t="s">
        <v>144</v>
      </c>
      <c r="C16" s="3" t="s">
        <v>147</v>
      </c>
      <c r="D16" s="3" t="s">
        <v>148</v>
      </c>
      <c r="E16" s="3" t="s">
        <v>150</v>
      </c>
      <c r="F16" s="3" t="s">
        <v>40</v>
      </c>
    </row>
    <row r="17" spans="1:6" ht="29">
      <c r="A17" s="3" t="s">
        <v>115</v>
      </c>
      <c r="B17" s="3" t="s">
        <v>151</v>
      </c>
      <c r="C17" s="3" t="s">
        <v>154</v>
      </c>
      <c r="D17" s="3" t="s">
        <v>155</v>
      </c>
      <c r="E17" s="3" t="s">
        <v>157</v>
      </c>
      <c r="F17" s="3" t="s">
        <v>40</v>
      </c>
    </row>
    <row r="18" spans="1:6" ht="29">
      <c r="A18" s="3" t="s">
        <v>115</v>
      </c>
      <c r="B18" s="3" t="s">
        <v>158</v>
      </c>
      <c r="C18" s="3" t="s">
        <v>161</v>
      </c>
      <c r="D18" s="3" t="s">
        <v>162</v>
      </c>
      <c r="E18" s="3" t="s">
        <v>164</v>
      </c>
      <c r="F18" s="3" t="s">
        <v>58</v>
      </c>
    </row>
    <row r="19" spans="1:6" ht="29">
      <c r="A19" s="3" t="s">
        <v>115</v>
      </c>
      <c r="B19" s="3" t="s">
        <v>165</v>
      </c>
      <c r="C19" s="3" t="s">
        <v>168</v>
      </c>
      <c r="D19" s="3" t="s">
        <v>169</v>
      </c>
      <c r="E19" s="3" t="s">
        <v>171</v>
      </c>
      <c r="F19" s="3" t="s">
        <v>40</v>
      </c>
    </row>
    <row r="20" spans="1:6" ht="29">
      <c r="A20" s="3" t="s">
        <v>115</v>
      </c>
      <c r="B20" s="3" t="s">
        <v>172</v>
      </c>
      <c r="C20" s="3" t="s">
        <v>175</v>
      </c>
      <c r="D20" s="3" t="s">
        <v>176</v>
      </c>
      <c r="E20" s="3" t="s">
        <v>178</v>
      </c>
      <c r="F20" s="3" t="s">
        <v>40</v>
      </c>
    </row>
    <row r="21" spans="1:6" ht="29">
      <c r="A21" s="3" t="s">
        <v>115</v>
      </c>
      <c r="B21" s="3" t="s">
        <v>179</v>
      </c>
      <c r="C21" s="3" t="s">
        <v>182</v>
      </c>
      <c r="D21" s="3" t="s">
        <v>183</v>
      </c>
      <c r="E21" s="3" t="s">
        <v>185</v>
      </c>
      <c r="F21" s="3" t="s">
        <v>58</v>
      </c>
    </row>
    <row r="22" spans="1:6" ht="29">
      <c r="A22" s="3" t="s">
        <v>115</v>
      </c>
      <c r="B22" s="3" t="s">
        <v>186</v>
      </c>
      <c r="C22" s="3" t="s">
        <v>189</v>
      </c>
      <c r="D22" s="3" t="s">
        <v>190</v>
      </c>
      <c r="E22" s="3" t="s">
        <v>192</v>
      </c>
      <c r="F22" s="3" t="s">
        <v>58</v>
      </c>
    </row>
    <row r="23" spans="1:6" ht="29">
      <c r="A23" s="3" t="s">
        <v>193</v>
      </c>
      <c r="B23" s="3" t="s">
        <v>194</v>
      </c>
      <c r="C23" s="3" t="s">
        <v>197</v>
      </c>
      <c r="D23" s="3" t="s">
        <v>198</v>
      </c>
      <c r="E23" s="3" t="s">
        <v>200</v>
      </c>
      <c r="F23" s="3" t="s">
        <v>58</v>
      </c>
    </row>
    <row r="24" spans="1:6" ht="29">
      <c r="A24" s="3" t="s">
        <v>193</v>
      </c>
      <c r="B24" s="3" t="s">
        <v>201</v>
      </c>
      <c r="C24" s="3" t="s">
        <v>204</v>
      </c>
      <c r="D24" s="3" t="s">
        <v>205</v>
      </c>
      <c r="E24" s="3" t="s">
        <v>207</v>
      </c>
      <c r="F24" s="3" t="s">
        <v>58</v>
      </c>
    </row>
    <row r="25" spans="1:6" ht="29">
      <c r="A25" s="3" t="s">
        <v>193</v>
      </c>
      <c r="B25" s="3" t="s">
        <v>208</v>
      </c>
      <c r="C25" s="3" t="s">
        <v>211</v>
      </c>
      <c r="D25" s="3" t="s">
        <v>212</v>
      </c>
      <c r="E25" s="3" t="s">
        <v>214</v>
      </c>
      <c r="F25" s="3" t="s">
        <v>58</v>
      </c>
    </row>
    <row r="26" spans="1:6" ht="29">
      <c r="A26" s="3" t="s">
        <v>193</v>
      </c>
      <c r="B26" s="3" t="s">
        <v>215</v>
      </c>
      <c r="C26" s="3" t="s">
        <v>219</v>
      </c>
      <c r="D26" s="3" t="s">
        <v>220</v>
      </c>
      <c r="E26" s="3" t="s">
        <v>222</v>
      </c>
      <c r="F26" s="3" t="s">
        <v>218</v>
      </c>
    </row>
    <row r="27" spans="1:6" ht="29">
      <c r="A27" s="3" t="s">
        <v>193</v>
      </c>
      <c r="B27" s="3" t="s">
        <v>224</v>
      </c>
      <c r="C27" s="3" t="s">
        <v>228</v>
      </c>
      <c r="D27" s="3" t="s">
        <v>229</v>
      </c>
      <c r="E27" s="3" t="s">
        <v>231</v>
      </c>
      <c r="F27" s="3" t="s">
        <v>218</v>
      </c>
    </row>
    <row r="28" spans="1:6" ht="29">
      <c r="A28" s="3" t="s">
        <v>232</v>
      </c>
      <c r="B28" s="3" t="s">
        <v>233</v>
      </c>
      <c r="C28" s="3" t="s">
        <v>236</v>
      </c>
      <c r="D28" s="3" t="s">
        <v>237</v>
      </c>
      <c r="E28" s="3" t="s">
        <v>239</v>
      </c>
      <c r="F28" s="3" t="s">
        <v>58</v>
      </c>
    </row>
    <row r="29" spans="1:6" ht="29">
      <c r="A29" s="3" t="s">
        <v>232</v>
      </c>
      <c r="B29" s="3" t="s">
        <v>240</v>
      </c>
      <c r="C29" s="3" t="s">
        <v>243</v>
      </c>
      <c r="D29" s="3" t="s">
        <v>244</v>
      </c>
      <c r="E29" s="3" t="s">
        <v>246</v>
      </c>
      <c r="F29" s="3" t="s">
        <v>218</v>
      </c>
    </row>
    <row r="30" spans="1:6" ht="29">
      <c r="A30" s="3" t="s">
        <v>232</v>
      </c>
      <c r="B30" s="3" t="s">
        <v>247</v>
      </c>
      <c r="C30" s="3" t="s">
        <v>250</v>
      </c>
      <c r="D30" s="3" t="s">
        <v>251</v>
      </c>
      <c r="E30" s="3" t="s">
        <v>253</v>
      </c>
      <c r="F30" s="3" t="s">
        <v>58</v>
      </c>
    </row>
    <row r="31" spans="1:6" ht="29">
      <c r="A31" s="3" t="s">
        <v>232</v>
      </c>
      <c r="B31" s="3" t="s">
        <v>254</v>
      </c>
      <c r="C31" s="3" t="s">
        <v>257</v>
      </c>
      <c r="D31" s="3" t="s">
        <v>258</v>
      </c>
      <c r="E31" s="3" t="s">
        <v>260</v>
      </c>
      <c r="F31" s="3" t="s">
        <v>58</v>
      </c>
    </row>
    <row r="32" spans="1:6" ht="29">
      <c r="A32" s="3" t="s">
        <v>232</v>
      </c>
      <c r="B32" s="3" t="s">
        <v>261</v>
      </c>
      <c r="C32" s="3" t="s">
        <v>264</v>
      </c>
      <c r="D32" s="3" t="s">
        <v>265</v>
      </c>
      <c r="E32" s="3" t="s">
        <v>267</v>
      </c>
      <c r="F32" s="3" t="s">
        <v>58</v>
      </c>
    </row>
    <row r="33" spans="1:6" ht="29">
      <c r="A33" s="3" t="s">
        <v>232</v>
      </c>
      <c r="B33" s="3" t="s">
        <v>268</v>
      </c>
      <c r="C33" s="3" t="s">
        <v>269</v>
      </c>
      <c r="D33" s="3" t="s">
        <v>270</v>
      </c>
      <c r="E33" s="3" t="s">
        <v>272</v>
      </c>
      <c r="F33" s="3" t="s">
        <v>218</v>
      </c>
    </row>
    <row r="34" spans="1:6" ht="29">
      <c r="A34" s="3" t="s">
        <v>232</v>
      </c>
      <c r="B34" s="3" t="s">
        <v>273</v>
      </c>
      <c r="C34" s="3" t="s">
        <v>276</v>
      </c>
      <c r="D34" s="3" t="s">
        <v>277</v>
      </c>
      <c r="E34" s="3" t="s">
        <v>279</v>
      </c>
      <c r="F34" s="3" t="s">
        <v>218</v>
      </c>
    </row>
    <row r="35" spans="1:6" ht="29">
      <c r="A35" s="3" t="s">
        <v>232</v>
      </c>
      <c r="B35" s="3" t="s">
        <v>280</v>
      </c>
      <c r="C35" s="3" t="s">
        <v>283</v>
      </c>
      <c r="D35" s="3" t="s">
        <v>284</v>
      </c>
      <c r="E35" s="3" t="s">
        <v>286</v>
      </c>
      <c r="F35" s="3" t="s">
        <v>58</v>
      </c>
    </row>
    <row r="36" spans="1:6" ht="29">
      <c r="A36" s="3" t="s">
        <v>232</v>
      </c>
      <c r="B36" s="3" t="s">
        <v>287</v>
      </c>
      <c r="C36" s="3" t="s">
        <v>290</v>
      </c>
      <c r="D36" s="3" t="s">
        <v>291</v>
      </c>
      <c r="E36" s="3" t="s">
        <v>293</v>
      </c>
      <c r="F36" s="3" t="s">
        <v>218</v>
      </c>
    </row>
    <row r="37" spans="1:6" ht="29">
      <c r="A37" s="3" t="s">
        <v>232</v>
      </c>
      <c r="B37" s="3" t="s">
        <v>294</v>
      </c>
      <c r="C37" s="3" t="s">
        <v>297</v>
      </c>
      <c r="D37" s="3" t="s">
        <v>298</v>
      </c>
      <c r="E37" s="3" t="s">
        <v>300</v>
      </c>
      <c r="F37" s="3" t="s">
        <v>40</v>
      </c>
    </row>
  </sheetData>
  <autoFilter ref="A1:F37" xr:uid="{00000000-0009-0000-0000-000003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总览</vt:lpstr>
      <vt:lpstr>能力矩阵</vt:lpstr>
      <vt:lpstr>优先路线</vt:lpstr>
      <vt:lpstr>能力缺口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荃 李</cp:lastModifiedBy>
  <dcterms:created xsi:type="dcterms:W3CDTF">2026-03-30T02:35:21Z</dcterms:created>
  <dcterms:modified xsi:type="dcterms:W3CDTF">2026-03-30T03:03:11Z</dcterms:modified>
</cp:coreProperties>
</file>